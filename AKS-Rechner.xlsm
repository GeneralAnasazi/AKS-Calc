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120" yWindow="75" windowWidth="15315" windowHeight="5700"/>
  </bookViews>
  <sheets>
    <sheet name="AKS" sheetId="1" r:id="rId1"/>
    <sheet name="Schiffe" sheetId="2" r:id="rId2"/>
    <sheet name="API Data" sheetId="4" r:id="rId3"/>
    <sheet name="APIFilteredData" sheetId="5" r:id="rId4"/>
  </sheets>
  <functionGroups builtInGroupCount="17"/>
  <definedNames>
    <definedName name="_?apiid_cr_de_150_4ce341eae62d4bb416f7feb60f1bde07f00c564f_rawOut_on" localSheetId="2">'API Data'!$A$1:$F$1788</definedName>
    <definedName name="_?apiid_cr_de_150_4ce341eae62d4bb416f7feb60f1bde07f00c564f_rawOut_on_1" localSheetId="2">'API Data'!$A$1:$A$6</definedName>
    <definedName name="ExterneDaten_1" localSheetId="2">'API Data'!$A$1:$F$1788</definedName>
    <definedName name="ExterneDaten_10" localSheetId="2">'API Data'!$A$1:$F$1788</definedName>
    <definedName name="ExterneDaten_11" localSheetId="2">'API Data'!$A$1:$F$1788</definedName>
    <definedName name="ExterneDaten_12" localSheetId="2">'API Data'!$A$1:$F$1788</definedName>
    <definedName name="ExterneDaten_13" localSheetId="2">'API Data'!$A$1:$F$1788</definedName>
    <definedName name="ExterneDaten_14" localSheetId="2">'API Data'!$A$1:$F$1788</definedName>
    <definedName name="ExterneDaten_15" localSheetId="2">'API Data'!$A$1:$F$1788</definedName>
    <definedName name="ExterneDaten_16" localSheetId="2">'API Data'!$A$1:$F$1788</definedName>
    <definedName name="ExterneDaten_17" localSheetId="2">'API Data'!$A$1:$F$1788</definedName>
    <definedName name="ExterneDaten_18" localSheetId="2">'API Data'!$A$1:$F$1788</definedName>
    <definedName name="ExterneDaten_19" localSheetId="2">'API Data'!$A$1:$F$1788</definedName>
    <definedName name="ExterneDaten_2" localSheetId="2">'API Data'!$A$1:$F$1788</definedName>
    <definedName name="ExterneDaten_20" localSheetId="2">'API Data'!$A$1:$F$1788</definedName>
    <definedName name="ExterneDaten_21" localSheetId="2">'API Data'!$A$1:$F$1788</definedName>
    <definedName name="ExterneDaten_22" localSheetId="2">'API Data'!$A$1:$F$1788</definedName>
    <definedName name="ExterneDaten_23" localSheetId="2">'API Data'!$A$1:$F$1788</definedName>
    <definedName name="ExterneDaten_24" localSheetId="2">'API Data'!$A$1:$F$1788</definedName>
    <definedName name="ExterneDaten_25" localSheetId="2">'API Data'!$A$1:$A$6</definedName>
    <definedName name="ExterneDaten_26" localSheetId="2">'API Data'!$A$1:$A$6</definedName>
    <definedName name="ExterneDaten_27" localSheetId="2">'API Data'!$A$1:$A$6</definedName>
    <definedName name="ExterneDaten_28" localSheetId="2">'API Data'!$A$1:$F$1788</definedName>
    <definedName name="ExterneDaten_29" localSheetId="2">'API Data'!$A$1:$F$1788</definedName>
    <definedName name="ExterneDaten_3" localSheetId="2">'API Data'!$A$1:$F$1788</definedName>
    <definedName name="ExterneDaten_30" localSheetId="2">'API Data'!$A$1:$F$1788</definedName>
    <definedName name="ExterneDaten_31" localSheetId="2">'API Data'!$A$1:$F$1788</definedName>
    <definedName name="ExterneDaten_32" localSheetId="2">'API Data'!$A$1:$F$1788</definedName>
    <definedName name="ExterneDaten_33" localSheetId="2">'API Data'!$A$1:$F$1788</definedName>
    <definedName name="ExterneDaten_34" localSheetId="2">'API Data'!$A$1:$F$1788</definedName>
    <definedName name="ExterneDaten_35" localSheetId="2">'API Data'!$A$1:$F$1788</definedName>
    <definedName name="ExterneDaten_36" localSheetId="2">'API Data'!$A$1:$F$1788</definedName>
    <definedName name="ExterneDaten_37" localSheetId="2">'API Data'!$A$1:$F$1788</definedName>
    <definedName name="ExterneDaten_38" localSheetId="2">'API Data'!$A$1:$F$1788</definedName>
    <definedName name="ExterneDaten_4" localSheetId="2">'API Data'!$A$1:$A$5</definedName>
    <definedName name="ExterneDaten_5" localSheetId="2">'API Data'!$A$1:$A$5</definedName>
    <definedName name="ExterneDaten_6" localSheetId="2">'API Data'!$A$1:$F$1788</definedName>
    <definedName name="ExterneDaten_7" localSheetId="2">'API Data'!$A$1:$F$1788</definedName>
    <definedName name="ExterneDaten_8" localSheetId="2">'API Data'!$A$1:$F$1788</definedName>
    <definedName name="ExterneDaten_9" localSheetId="2">'API Data'!$A$1:$F$1788</definedName>
  </definedNames>
  <calcPr calcId="145621"/>
</workbook>
</file>

<file path=xl/calcChain.xml><?xml version="1.0" encoding="utf-8"?>
<calcChain xmlns="http://schemas.openxmlformats.org/spreadsheetml/2006/main">
  <c r="G19" i="1" l="1"/>
  <c r="F19" i="1"/>
  <c r="E19" i="1"/>
  <c r="D19" i="1"/>
  <c r="C19" i="1"/>
  <c r="G18" i="1"/>
  <c r="F18" i="1"/>
  <c r="E18" i="1"/>
  <c r="D18" i="1"/>
  <c r="C18" i="1"/>
  <c r="W18" i="1" l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G20" i="1"/>
  <c r="F20" i="1"/>
  <c r="E20" i="1"/>
  <c r="C20" i="1"/>
  <c r="D20" i="1"/>
  <c r="C26" i="1" l="1"/>
  <c r="R27" i="1" s="1"/>
  <c r="R39" i="1" s="1"/>
  <c r="D26" i="1"/>
  <c r="M27" i="1" s="1"/>
  <c r="M39" i="1" s="1"/>
  <c r="E26" i="1"/>
  <c r="N27" i="1" s="1"/>
  <c r="N39" i="1" s="1"/>
  <c r="I27" i="1" l="1"/>
  <c r="I39" i="1" s="1"/>
  <c r="L27" i="1"/>
  <c r="L39" i="1" s="1"/>
  <c r="U27" i="1"/>
  <c r="U39" i="1" s="1"/>
  <c r="O27" i="1"/>
  <c r="O39" i="1" s="1"/>
  <c r="J27" i="1"/>
  <c r="J39" i="1" s="1"/>
  <c r="V27" i="1"/>
  <c r="V39" i="1" s="1"/>
  <c r="S27" i="1"/>
  <c r="S39" i="1" s="1"/>
  <c r="K27" i="1"/>
  <c r="K39" i="1" s="1"/>
  <c r="P27" i="1"/>
  <c r="P39" i="1" s="1"/>
  <c r="T27" i="1"/>
  <c r="T39" i="1" s="1"/>
  <c r="Q27" i="1"/>
  <c r="Q39" i="1" s="1"/>
  <c r="W27" i="1"/>
  <c r="W39" i="1" s="1"/>
</calcChain>
</file>

<file path=xl/connections.xml><?xml version="1.0" encoding="utf-8"?>
<connections xmlns="http://schemas.openxmlformats.org/spreadsheetml/2006/main">
  <connection id="1" name="Verbindung" type="4" refreshedVersion="4" background="1" saveData="1">
    <webPr sourceData="1" parsePre="1" consecutive="1" xl2000="1" url="https://nomoreangel.de/api-reader/?apiid=cr-de-150-4ce341eae62d4bb416f7feb60f1bde07f00c564f&amp;rawOut=on"/>
  </connection>
  <connection id="2" name="Verbindung1" type="4" refreshedVersion="4" background="1" refreshOnLoad="1" saveData="1">
    <webPr sourceData="1" parsePre="1" consecutive="1" xl2000="1" url="https://nomoreangel.de/api-reader/"/>
  </connection>
  <connection id="3" name="Verbindung10" type="4" refreshedVersion="4" saveData="1">
    <webPr sourceData="1" parsePre="1" consecutive="1" xl2000="1" url="https://nomoreangel.de/api-reader/?apiid=cr-de-150-4ce341eae62d4bb416f7feb60f1bde07f00c564f&amp;rawOut=on"/>
  </connection>
  <connection id="4" name="Verbindung11" type="4" refreshedVersion="4" saveData="1">
    <webPr sourceData="1" parsePre="1" consecutive="1" xl2000="1" url="https://nomoreangel.de/api-reader/?apiid=cr-de-150-4ce341eae62d4bb416f7feb60f1bde07f00c564f&amp;rawOut=on"/>
  </connection>
  <connection id="5" name="Verbindung12" type="4" refreshedVersion="4" saveData="1">
    <webPr sourceData="1" parsePre="1" consecutive="1" xl2000="1" url="https://nomoreangel.de/api-reader/?apiid=cr-de-150-4ce341eae62d4bb416f7feb60f1bde07f00c564f&amp;rawOut=on"/>
  </connection>
  <connection id="6" name="Verbindung13" type="4" refreshedVersion="4" saveData="1">
    <webPr sourceData="1" parsePre="1" consecutive="1" xl2000="1" url="https://nomoreangel.de/api-reader/?apiid=cr-de-150-4ce341eae62d4bb416f7feb60f1bde07f00c564f&amp;rawOut=on"/>
  </connection>
  <connection id="7" name="Verbindung14" type="4" refreshedVersion="4" saveData="1">
    <webPr sourceData="1" parsePre="1" consecutive="1" xl2000="1" url="https://nomoreangel.de/api-reader/?apiid=cr-de-150-4ce341eae62d4bb416f7feb60f1bde07f00c564f&amp;rawOut=on"/>
  </connection>
  <connection id="8" name="Verbindung15" type="4" refreshedVersion="4" saveData="1">
    <webPr sourceData="1" parsePre="1" consecutive="1" xl2000="1" url="https://nomoreangel.de/api-reader/?apiid=cr-de-150-4ce341eae62d4bb416f7feb60f1bde07f00c564f&amp;rawOut=on"/>
  </connection>
  <connection id="9" name="Verbindung16" type="4" refreshedVersion="4" saveData="1">
    <webPr sourceData="1" parsePre="1" consecutive="1" xl2000="1" url="https://nomoreangel.de/api-reader/?apiid=cr-de-150-4ce341eae62d4bb416f7feb60f1bde07f00c564f&amp;rawOut=on"/>
  </connection>
  <connection id="10" name="Verbindung17" type="4" refreshedVersion="4" saveData="1">
    <webPr sourceData="1" parsePre="1" consecutive="1" xl2000="1" url="https://nomoreangel.de/api-reader/?apiid=cr-de-150-4ce341eae62d4bb416f7feb60f1bde07f00c564f&amp;rawOut=on"/>
  </connection>
  <connection id="11" name="Verbindung18" type="4" refreshedVersion="4" saveData="1">
    <webPr sourceData="1" parsePre="1" consecutive="1" xl2000="1" url="https://nomoreangel.de/api-reader/?apiid=cr-de-150-4ce341eae62d4bb416f7feb60f1bde07f00c564f&amp;rawOut=on"/>
  </connection>
  <connection id="12" name="Verbindung19" type="4" refreshedVersion="4" saveData="1">
    <webPr sourceData="1" parsePre="1" consecutive="1" xl2000="1" url="https://nomoreangel.de/api-reader/?apiid=cr-de-150-4ce341eae62d4bb416f7feb60f1bde07f00c564f&amp;rawOut=on"/>
  </connection>
  <connection id="13" name="Verbindung2" type="4" refreshedVersion="4" saveData="1">
    <webPr sourceData="1" parsePre="1" consecutive="1" xl2000="1" url="https://nomoreangel.de/api-reader/?apiid=cr-de-150-4ce341eae62d4bb416f7feb60f1bde07f00c564f&amp;rawOut=on"/>
  </connection>
  <connection id="14" name="Verbindung20" type="4" refreshedVersion="4" saveData="1">
    <webPr sourceData="1" parsePre="1" consecutive="1" xl2000="1" url="https://nomoreangel.de/api-reader/?apiid=cr-de-150-4ce341eae62d4bb416f7feb60f1bde07f00c564f&amp;rawOut=on"/>
  </connection>
  <connection id="15" name="Verbindung21" type="4" refreshedVersion="4" saveData="1">
    <webPr sourceData="1" parsePre="1" consecutive="1" xl2000="1" url="https://nomoreangel.de/api-reader/?apiid=cr-de-150-4ce341eae62d4bb416f7feb60f1bde07f00c564f&amp;rawOut=on"/>
  </connection>
  <connection id="16" name="Verbindung22" type="4" refreshedVersion="4" saveData="1">
    <webPr sourceData="1" parsePre="1" consecutive="1" xl2000="1" url="https://nomoreangel.de/api-reader/?apiid=cr-de-150-4ce341eae62d4bb416f7feb60f1bde07f00c564f&amp;rawOut=on"/>
  </connection>
  <connection id="17" name="Verbindung23" type="4" refreshedVersion="4" saveData="1">
    <webPr sourceData="1" parsePre="1" consecutive="1" xl2000="1" url="https://nomoreangel.de/api-reader/?apiid=cr-de-150-4ce341eae62d4bb416f7feb60f1bde07f00c564f&amp;rawOut=on"/>
  </connection>
  <connection id="18" name="Verbindung24" type="4" refreshedVersion="4" saveData="1">
    <webPr sourceData="1" parsePre="1" consecutive="1" xl2000="1" url="https://nomoreangel.de/api-reader/?apiid=cr-de-150-4ce341eae62d4bb416f7feb60f1bde07f00c564f&amp;rawOut=on"/>
  </connection>
  <connection id="19" name="Verbindung25" type="4" refreshedVersion="4" saveData="1">
    <webPr sourceData="1" parsePre="1" consecutive="1" xl2000="1" url="https://nomoreangel.de/api-reader/?apiid=cr-de-150-4ce341eae62d4bb416f7feb60f1bde07f00c564f&amp;rawOut=on"/>
  </connection>
  <connection id="20" name="Verbindung26" type="4" refreshedVersion="4" saveData="1">
    <webPr sourceData="1" parsePre="1" consecutive="1" xl2000="1" url="https://nomoreangel.de/api-reader/?apiid=&amp;rawOut=on"/>
  </connection>
  <connection id="21" name="Verbindung27" type="4" refreshedVersion="4" saveData="1">
    <webPr sourceData="1" parsePre="1" consecutive="1" xl2000="1" url="https://nomoreangel.de/api-reader/?apiid=&amp;rawOut=on"/>
  </connection>
  <connection id="22" name="Verbindung28" type="4" refreshedVersion="4" saveData="1">
    <webPr sourceData="1" parsePre="1" consecutive="1" xl2000="1" url="https://nomoreangel.de/api-reader/?apiid=&amp;rawOut=on"/>
  </connection>
  <connection id="23" name="Verbindung29" type="4" refreshedVersion="4" saveData="1">
    <webPr sourceData="1" parsePre="1" consecutive="1" xl2000="1" url="https://nomoreangel.de/api-reader/?apiid=cr-de-150-4ce341eae62d4bb416f7feb60f1bde07f00c564f&amp;rawOut=on"/>
  </connection>
  <connection id="24" name="Verbindung3" type="4" refreshedVersion="4" saveData="1">
    <webPr sourceData="1" parsePre="1" consecutive="1" xl2000="1" url="https://nomoreangel.de/api-reader/?apiid=cr-de-150-4ce341eae62d4bb416f7feb60f1bde07f00c564f&amp;rawOut=on"/>
  </connection>
  <connection id="25" name="Verbindung30" type="4" refreshedVersion="4" saveData="1">
    <webPr sourceData="1" parsePre="1" consecutive="1" xl2000="1" url="https://nomoreangel.de/api-reader/?apiid=cr-de-150-4ce341eae62d4bb416f7feb60f1bde07f00c564f&amp;rawOut=on"/>
  </connection>
  <connection id="26" name="Verbindung31" type="4" refreshedVersion="4" saveData="1">
    <webPr sourceData="1" parsePre="1" consecutive="1" xl2000="1" url="https://nomoreangel.de/api-reader/?apiid=cr-de-150-4ce341eae62d4bb416f7feb60f1bde07f00c564f&amp;rawOut=on"/>
  </connection>
  <connection id="27" name="Verbindung32" type="4" refreshedVersion="4" saveData="1">
    <webPr sourceData="1" parsePre="1" consecutive="1" xl2000="1" url="https://nomoreangel.de/api-reader/?apiid=cr-de-150-4ce341eae62d4bb416f7feb60f1bde07f00c564f&amp;rawOut=on"/>
  </connection>
  <connection id="28" name="Verbindung33" type="4" refreshedVersion="4" saveData="1">
    <webPr sourceData="1" parsePre="1" consecutive="1" xl2000="1" url="https://nomoreangel.de/api-reader/?apiid=cr-de-150-4ce341eae62d4bb416f7feb60f1bde07f00c564f&amp;rawOut=on"/>
  </connection>
  <connection id="29" name="Verbindung34" type="4" refreshedVersion="4" saveData="1">
    <webPr sourceData="1" parsePre="1" consecutive="1" xl2000="1" url="https://nomoreangel.de/api-reader/?apiid=cr-de-150-4ce341eae62d4bb416f7feb60f1bde07f00c564f&amp;rawOut=on"/>
  </connection>
  <connection id="30" name="Verbindung35" type="4" refreshedVersion="4" saveData="1">
    <webPr sourceData="1" parsePre="1" consecutive="1" xl2000="1" url="https://nomoreangel.de/api-reader/?apiid=cr-de-150-4ce341eae62d4bb416f7feb60f1bde07f00c564f&amp;rawOut=on"/>
  </connection>
  <connection id="31" name="Verbindung36" type="4" refreshedVersion="4" saveData="1">
    <webPr sourceData="1" parsePre="1" consecutive="1" xl2000="1" url="https://nomoreangel.de/api-reader/?apiid=cr-de-150-4ce341eae62d4bb416f7feb60f1bde07f00c564f&amp;rawOut=on"/>
  </connection>
  <connection id="32" name="Verbindung37" type="4" refreshedVersion="4" saveData="1">
    <webPr sourceData="1" parsePre="1" consecutive="1" xl2000="1" url="https://nomoreangel.de/api-reader/?apiid=cr-de-150-4ce341eae62d4bb416f7feb60f1bde07f00c564f&amp;rawOut=on"/>
  </connection>
  <connection id="33" name="Verbindung38" type="4" refreshedVersion="4" saveData="1">
    <webPr sourceData="1" parsePre="1" consecutive="1" xl2000="1" url="https://nomoreangel.de/api-reader/?apiid=cr-de-150-4ce341eae62d4bb416f7feb60f1bde07f00c564f&amp;rawOut=on"/>
  </connection>
  <connection id="34" name="Verbindung39" type="4" refreshedVersion="4" saveData="1">
    <webPr sourceData="1" parsePre="1" consecutive="1" xl2000="1" url="https://nomoreangel.de/api-reader/?apiid=cr-de-150-4ce341eae62d4bb416f7feb60f1bde07f00c564f&amp;rawOut=on"/>
  </connection>
  <connection id="35" name="Verbindung4" type="4" refreshedVersion="4" saveData="1">
    <webPr sourceData="1" parsePre="1" consecutive="1" xl2000="1" url="https://nomoreangel.de/api-reader/?apiid=cr-de-150-4ce341eae62d4bb416f7feb60f1bde07f00c564f&amp;rawOut=on"/>
  </connection>
  <connection id="36" name="Verbindung5" type="4" refreshedVersion="4" saveData="1">
    <webPr sourceData="1" parsePre="1" consecutive="1" xl2000="1" url="https://nomoreangel.de/api-reader/?apiid=cr-de-150-4ce341eae62d4bb416f7feb60f1bde07f00c564frawOut=on"/>
  </connection>
  <connection id="37" name="Verbindung6" type="4" refreshedVersion="4" saveData="1">
    <webPr sourceData="1" parsePre="1" consecutive="1" xl2000="1" url="https://nomoreangel.de/api-reader/?apiid=cr-de-150-4ce341eae62d4bb416f7feb60f1bde07f00c564frawOut=on"/>
  </connection>
  <connection id="38" name="Verbindung7" type="4" refreshedVersion="4" saveData="1">
    <webPr sourceData="1" parsePre="1" consecutive="1" xl2000="1" url="https://nomoreangel.de/api-reader/?apiid=cr-de-150-4ce341eae62d4bb416f7feb60f1bde07f00c564f&amp;rawOut=on"/>
  </connection>
  <connection id="39" name="Verbindung8" type="4" refreshedVersion="4" saveData="1">
    <webPr sourceData="1" parsePre="1" consecutive="1" xl2000="1" url="https://nomoreangel.de/api-reader/?apiid=cr-de-150-4ce341eae62d4bb416f7feb60f1bde07f00c564f&amp;rawOut=on"/>
  </connection>
  <connection id="40" name="Verbindung9" type="4" refreshedVersion="4" saveData="1">
    <webPr sourceData="1" parsePre="1" consecutive="1" xl2000="1" url="https://nomoreangel.de/api-reader/?apiid=cr-de-150-4ce341eae62d4bb416f7feb60f1bde07f00c564f&amp;rawOut=on"/>
  </connection>
</connections>
</file>

<file path=xl/sharedStrings.xml><?xml version="1.0" encoding="utf-8"?>
<sst xmlns="http://schemas.openxmlformats.org/spreadsheetml/2006/main" count="1661" uniqueCount="322">
  <si>
    <t>Metall</t>
  </si>
  <si>
    <t>Kristall</t>
  </si>
  <si>
    <t>Deuterium</t>
  </si>
  <si>
    <t>Schiffe</t>
  </si>
  <si>
    <t>Name</t>
  </si>
  <si>
    <t>KT</t>
  </si>
  <si>
    <t>LJ</t>
  </si>
  <si>
    <t>GT</t>
  </si>
  <si>
    <t>SJ</t>
  </si>
  <si>
    <t>Xer</t>
  </si>
  <si>
    <t>SS</t>
  </si>
  <si>
    <t>SXer</t>
  </si>
  <si>
    <t>BB</t>
  </si>
  <si>
    <t>Zerri</t>
  </si>
  <si>
    <t>Rip</t>
  </si>
  <si>
    <t>Verluste</t>
  </si>
  <si>
    <t>Rec</t>
  </si>
  <si>
    <t>AKS-P1</t>
  </si>
  <si>
    <t>AKS-P2</t>
  </si>
  <si>
    <t>AKS-P3</t>
  </si>
  <si>
    <t>AKS-P4</t>
  </si>
  <si>
    <t>AKS-P5</t>
  </si>
  <si>
    <t>Deut</t>
  </si>
  <si>
    <t>Erbeutet Ressourcen</t>
  </si>
  <si>
    <t>Gewinn Gesamt</t>
  </si>
  <si>
    <t>Anteile AKS Partner</t>
  </si>
  <si>
    <t>Ressourcen Verteilung</t>
  </si>
  <si>
    <t>Navigation ein-/ausblenden OGameTech Tools</t>
  </si>
  <si>
    <t>API-Reader</t>
  </si>
  <si>
    <t>WreckField Calculator</t>
  </si>
  <si>
    <t>API-ID: Raw-Output: ID: cr-de-150-4ce341eae62d4bb416f7feb60f1bde07f00c564f</t>
  </si>
  <si>
    <t>st</t>
  </si>
  <si>
    <t>dClass Object</t>
  </si>
  <si>
    <t>(</t>
  </si>
  <si>
    <t>[repaired_d</t>
  </si>
  <si>
    <t>efe</t>
  </si>
  <si>
    <t>nses] =&gt; Array</t>
  </si>
  <si>
    <t>[0]</t>
  </si>
  <si>
    <t>=&gt;</t>
  </si>
  <si>
    <t>stdClass Object</t>
  </si>
  <si>
    <t>[repaired_type]</t>
  </si>
  <si>
    <t>[repaired_count</t>
  </si>
  <si>
    <t>] =</t>
  </si>
  <si>
    <t>&gt; 744</t>
  </si>
  <si>
    <t>)</t>
  </si>
  <si>
    <t>[1]</t>
  </si>
  <si>
    <t>[repaired_type] =&gt; 402</t>
  </si>
  <si>
    <t>[repaired_count] =&gt; 72</t>
  </si>
  <si>
    <t>[2]</t>
  </si>
  <si>
    <t>[repaired_type] =&gt; 403</t>
  </si>
  <si>
    <t>[repaired_count] =&gt; 36</t>
  </si>
  <si>
    <t>[3]</t>
  </si>
  <si>
    <t>[repaired_type] =&gt; 404</t>
  </si>
  <si>
    <t>[repaired_count] =&gt; 13</t>
  </si>
  <si>
    <t>[4]</t>
  </si>
  <si>
    <t>[repaired_type] =&gt; 405</t>
  </si>
  <si>
    <t>[repaired_count] =&gt; 4</t>
  </si>
  <si>
    <t>[5]</t>
  </si>
  <si>
    <t>[repaired_type] =&gt; 407</t>
  </si>
  <si>
    <t>[repaired_count] =&gt; 1</t>
  </si>
  <si>
    <t>[generic] =&gt; stdClass Object</t>
  </si>
  <si>
    <t>[cr_id] =&gt; 4ce341eae62d4bb416f7feb60f1bde07f00c564f</t>
  </si>
  <si>
    <t>[event_time] =&gt; 2017-12-09T05:47:10+01:00</t>
  </si>
  <si>
    <t>[event_timestamp] =&gt; 1512794830</t>
  </si>
  <si>
    <t>[combat_coordinates] =&gt; 1:187:12</t>
  </si>
  <si>
    <t>[combat_planet_type] =&gt; 1</t>
  </si>
  <si>
    <t>[combat_rounds] =&gt; 6</t>
  </si>
  <si>
    <t>[loot_percentage] =&gt; 0</t>
  </si>
  <si>
    <t>[winner] =&gt; draw</t>
  </si>
  <si>
    <t>[units_lost_attackers] =&gt; 3278000</t>
  </si>
  <si>
    <t>[units_lost_defenders] =&gt; 10100500</t>
  </si>
  <si>
    <t>[attacker_count] =&gt; 3</t>
  </si>
  <si>
    <t>[defender_count] =&gt; 1</t>
  </si>
  <si>
    <t>[loot_metal] =&gt; 0</t>
  </si>
  <si>
    <t>[loot_crystal] =&gt; 0</t>
  </si>
  <si>
    <t>[loot_deuterium] =&gt; 0</t>
  </si>
  <si>
    <t>[combat_honorable] =&gt; 1</t>
  </si>
  <si>
    <t>[attacker_honorable] =&gt;</t>
  </si>
  <si>
    <t>[attacker_honorpoints] =&gt; 1220</t>
  </si>
  <si>
    <t>[defender_honorable] =&gt; 1</t>
  </si>
  <si>
    <t>[defender_honorpoints] =&gt; 723</t>
  </si>
  <si>
    <t>[moon_created] =&gt;</t>
  </si>
  <si>
    <t>[moon_chance] =&gt; 21</t>
  </si>
  <si>
    <t>[moon_size] =&gt; 0</t>
  </si>
  <si>
    <t>[moon_exists] =&gt;</t>
  </si>
  <si>
    <t>[debris_metal] =&gt; 4393600</t>
  </si>
  <si>
    <t>[debris_crystal] =&gt; 1869000</t>
  </si>
  <si>
    <t>[wreckfield] =&gt; Array</t>
  </si>
  <si>
    <t>[0] =&gt; stdClass Object</t>
  </si>
  <si>
    <t>[ship_type] =&gt; 204</t>
  </si>
  <si>
    <t>[count] =&gt; 50</t>
  </si>
  <si>
    <t>[1] =&gt; stdClass Object</t>
  </si>
  <si>
    <t>[ship_type] =&gt; 209</t>
  </si>
  <si>
    <t>[count] =&gt; 11</t>
  </si>
  <si>
    <t>[2] =&gt; stdClass Object</t>
  </si>
  <si>
    <t>[ship_type] =&gt; 203</t>
  </si>
  <si>
    <t>[3] =&gt; stdClass Object</t>
  </si>
  <si>
    <t>[ship_type] =&gt; 207</t>
  </si>
  <si>
    <t>[count] =&gt; 9</t>
  </si>
  <si>
    <t>[4] =&gt; stdClass Object</t>
  </si>
  <si>
    <t>[ship_type] =&gt; 211</t>
  </si>
  <si>
    <t>[count] =&gt; 2</t>
  </si>
  <si>
    <t>[attackers] =&gt; Array</t>
  </si>
  <si>
    <t>[fleet_owner] =&gt; Infinite</t>
  </si>
  <si>
    <t>[fleet_owner_coordinates] =&gt; 1:222:8</t>
  </si>
  <si>
    <t>[fleet_owner_planet_type] =&gt; 3</t>
  </si>
  <si>
    <t>[fleet_owner_planet_name] =&gt; Mond</t>
  </si>
  <si>
    <t>[fleet_owner_alliance] =&gt; MahLibbah</t>
  </si>
  <si>
    <t>[fleet_owner_alliance_tag] =&gt; MaLibbah</t>
  </si>
  <si>
    <t>[fleet_armor_percentage] =&gt; 90</t>
  </si>
  <si>
    <t>[fleet_shield_percentage] =&gt; 80</t>
  </si>
  <si>
    <t>[fleet_weapon_percentage] =&gt; 80</t>
  </si>
  <si>
    <t>[fleet_composition] =&gt; Array</t>
  </si>
  <si>
    <t>[ship_type] =&gt; 215</t>
  </si>
  <si>
    <t>[armor] =&gt; 13300</t>
  </si>
  <si>
    <t>[shield] =&gt; 720</t>
  </si>
  <si>
    <t>[weapon] =&gt; 1260</t>
  </si>
  <si>
    <t>[count] =&gt; 91</t>
  </si>
  <si>
    <t>[fleet_owner] =&gt; GeneralAnasazi</t>
  </si>
  <si>
    <t>[fleet_owner_coordinates] =&gt; 1:214:7</t>
  </si>
  <si>
    <t>[fleet_owner_planet_name] =&gt; Jaguar Pride</t>
  </si>
  <si>
    <t>[fleet_owner_alliance] =&gt; The Dark Knights</t>
  </si>
  <si>
    <t>[fleet_owner_alliance_tag] =&gt; TDK</t>
  </si>
  <si>
    <t>[fleet_armor_percentage] =&gt; 100</t>
  </si>
  <si>
    <t>[fleet_shield_percentage] =&gt; 90</t>
  </si>
  <si>
    <t>[fleet_weapon_percentage] =&gt; 90</t>
  </si>
  <si>
    <t>[ship_type] =&gt; 202</t>
  </si>
  <si>
    <t>[armor] =&gt; 800</t>
  </si>
  <si>
    <t>[shield] =&gt; 19</t>
  </si>
  <si>
    <t>[weapon] =&gt; 9.5</t>
  </si>
  <si>
    <t>[count] =&gt; 28</t>
  </si>
  <si>
    <t>[weapon] =&gt; 95</t>
  </si>
  <si>
    <t>[count] =&gt; 1560</t>
  </si>
  <si>
    <t>[armor] =&gt; 760</t>
  </si>
  <si>
    <t>[shield] =&gt; 18</t>
  </si>
  <si>
    <t>[weapon] =&gt; 90</t>
  </si>
  <si>
    <t>[count] =&gt; 690</t>
  </si>
  <si>
    <t>[defenders] =&gt; Array</t>
  </si>
  <si>
    <t>[fleet_owner] =&gt; Pritt91</t>
  </si>
  <si>
    <t>[fleet_owner_coordinates] =&gt; 1:187:12</t>
  </si>
  <si>
    <t>[fleet_owner_planet_type] =&gt; 1</t>
  </si>
  <si>
    <t>[fleet_owner_planet_name] =&gt; Alpha</t>
  </si>
  <si>
    <t>[fleet_owner_alliance] =&gt; Alternative für Xanthus</t>
  </si>
  <si>
    <t>[fleet_owner_alliance_tag] =&gt; AfX</t>
  </si>
  <si>
    <t>[armor] =&gt; 2280</t>
  </si>
  <si>
    <t>[shield] =&gt; 45</t>
  </si>
  <si>
    <t>[weapon] =&gt; 9</t>
  </si>
  <si>
    <t>[count] =&gt; 59</t>
  </si>
  <si>
    <t>[count] =&gt; 256</t>
  </si>
  <si>
    <t>[ship_type] =&gt; 206</t>
  </si>
  <si>
    <t>[armor] =&gt; 5130</t>
  </si>
  <si>
    <t>[shield] =&gt; 90</t>
  </si>
  <si>
    <t>[weapon] =&gt; 720</t>
  </si>
  <si>
    <t>[count] =&gt; 5</t>
  </si>
  <si>
    <t>[armor] =&gt; 11400</t>
  </si>
  <si>
    <t>[shield] =&gt; 360</t>
  </si>
  <si>
    <t>[weapon] =&gt; 1800</t>
  </si>
  <si>
    <t>[armor] =&gt; 3040</t>
  </si>
  <si>
    <t>[weapon] =&gt; 1.8</t>
  </si>
  <si>
    <t>[count] =&gt; 58</t>
  </si>
  <si>
    <t>[5] =&gt; stdClass Object</t>
  </si>
  <si>
    <t>[ship_type] =&gt; 210</t>
  </si>
  <si>
    <t>[armor] =&gt; 190</t>
  </si>
  <si>
    <t>[shield] =&gt; 0.018</t>
  </si>
  <si>
    <t>[weapon] =&gt; 0.018</t>
  </si>
  <si>
    <t>[count] =&gt; 43</t>
  </si>
  <si>
    <t>[6] =&gt; stdClass Object</t>
  </si>
  <si>
    <t>[armor] =&gt; 14250</t>
  </si>
  <si>
    <t>[shield] =&gt; 900</t>
  </si>
  <si>
    <t>[count] =&gt; 15</t>
  </si>
  <si>
    <t>[7] =&gt; stdClass Object</t>
  </si>
  <si>
    <t>[ship_type] =&gt; 212</t>
  </si>
  <si>
    <t>[armor] =&gt; 380</t>
  </si>
  <si>
    <t>[shield] =&gt; 1.8</t>
  </si>
  <si>
    <t>[count] =&gt; 25</t>
  </si>
  <si>
    <t>[8] =&gt; stdClass Object</t>
  </si>
  <si>
    <t>[ship_type] =&gt; 401</t>
  </si>
  <si>
    <t>[shield] =&gt; 36</t>
  </si>
  <si>
    <t>[weapon] =&gt; 144</t>
  </si>
  <si>
    <t>[count] =&gt; 800</t>
  </si>
  <si>
    <t>[9] =&gt; stdClass Object</t>
  </si>
  <si>
    <t>[ship_type] =&gt; 402</t>
  </si>
  <si>
    <t>[weapon] =&gt; 180</t>
  </si>
  <si>
    <t>[count] =&gt; 80</t>
  </si>
  <si>
    <t>[10] =&gt; stdClass Object</t>
  </si>
  <si>
    <t>[ship_type] =&gt; 403</t>
  </si>
  <si>
    <t>[armor] =&gt; 1520</t>
  </si>
  <si>
    <t>[shield] =&gt; 180</t>
  </si>
  <si>
    <t>[weapon] =&gt; 450</t>
  </si>
  <si>
    <t>[count] =&gt; 40</t>
  </si>
  <si>
    <t>[11] =&gt; stdClass Object</t>
  </si>
  <si>
    <t>[ship_type] =&gt; 404</t>
  </si>
  <si>
    <t>[armor] =&gt; 6650</t>
  </si>
  <si>
    <t>[weapon] =&gt; 1980</t>
  </si>
  <si>
    <t>[count] =&gt; 16</t>
  </si>
  <si>
    <t>[12] =&gt; stdClass Object</t>
  </si>
  <si>
    <t>[ship_type] =&gt; 405</t>
  </si>
  <si>
    <t>[weapon] =&gt; 270</t>
  </si>
  <si>
    <t>[count] =&gt; 4</t>
  </si>
  <si>
    <t>[13] =&gt; stdClass Object</t>
  </si>
  <si>
    <t>[ship_type] =&gt; 407</t>
  </si>
  <si>
    <t>[armor] =&gt; 3800</t>
  </si>
  <si>
    <t>[shield] =&gt; 3600</t>
  </si>
  <si>
    <t>[count] =&gt; 1</t>
  </si>
  <si>
    <t>[14] =&gt; stdClass Object</t>
  </si>
  <si>
    <t>[ship_type] =&gt; 408</t>
  </si>
  <si>
    <t>[armor] =&gt; 19000</t>
  </si>
  <si>
    <t>[shield] =&gt; 18000</t>
  </si>
  <si>
    <t>[rounds] =&gt; Array</t>
  </si>
  <si>
    <t>[round_number] =&gt; 1</t>
  </si>
  <si>
    <t>[statistics] =&gt; stdClass Object</t>
  </si>
  <si>
    <t>[attacker_hits] =&gt; 2469</t>
  </si>
  <si>
    <t>[attacker_absorbed] =&gt; 28000</t>
  </si>
  <si>
    <t>[attacker_fullstrength] =&gt; 341218</t>
  </si>
  <si>
    <t>[defender_hits] =&gt; 1478</t>
  </si>
  <si>
    <t>[defender_absorbed] =&gt; 53384</t>
  </si>
  <si>
    <t>[defender_fullstrength] =&gt; 342616</t>
  </si>
  <si>
    <t>[attacker_ships] =&gt; Array</t>
  </si>
  <si>
    <t>[owner] =&gt; 0</t>
  </si>
  <si>
    <t>[owner] =&gt; 1</t>
  </si>
  <si>
    <t>[count] =&gt; 26</t>
  </si>
  <si>
    <t>[count] =&gt; 1442</t>
  </si>
  <si>
    <t>[owner] =&gt; 2</t>
  </si>
  <si>
    <t>[count] =&gt; 630</t>
  </si>
  <si>
    <t>[attacker_ship_losses] =&gt; Array</t>
  </si>
  <si>
    <t>[count] =&gt; 118</t>
  </si>
  <si>
    <t>[count] =&gt; 60</t>
  </si>
  <si>
    <t>[defender_ships] =&gt; Array</t>
  </si>
  <si>
    <t>[count] =&gt; 211</t>
  </si>
  <si>
    <t>[count] =&gt; 57</t>
  </si>
  <si>
    <t>[count] =&gt; 12</t>
  </si>
  <si>
    <t>[count] =&gt; 17</t>
  </si>
  <si>
    <t>[count] =&gt; 535</t>
  </si>
  <si>
    <t>[count] =&gt; 62</t>
  </si>
  <si>
    <t>[count] =&gt; 39</t>
  </si>
  <si>
    <t>[defender_ship_losses] =&gt; Array</t>
  </si>
  <si>
    <t>[count] =&gt; 45</t>
  </si>
  <si>
    <t>[count] =&gt; 31</t>
  </si>
  <si>
    <t>[count] =&gt; 8</t>
  </si>
  <si>
    <t>[count] =&gt; 265</t>
  </si>
  <si>
    <t>[count] =&gt; 18</t>
  </si>
  <si>
    <t>[round_number] =&gt; 2</t>
  </si>
  <si>
    <t>[attacker_hits] =&gt; 2245</t>
  </si>
  <si>
    <t>[attacker_absorbed] =&gt; 19674</t>
  </si>
  <si>
    <t>[attacker_fullstrength] =&gt; 329004</t>
  </si>
  <si>
    <t>[defender_hits] =&gt; 1099</t>
  </si>
  <si>
    <t>[defender_absorbed] =&gt; 50373</t>
  </si>
  <si>
    <t>[defender_fullstrength] =&gt; 289507</t>
  </si>
  <si>
    <t>[count] =&gt; 24</t>
  </si>
  <si>
    <t>[count] =&gt; 1302</t>
  </si>
  <si>
    <t>[count] =&gt; 572</t>
  </si>
  <si>
    <t>[count] =&gt; 140</t>
  </si>
  <si>
    <t>[count] =&gt; 51</t>
  </si>
  <si>
    <t>[count] =&gt; 121</t>
  </si>
  <si>
    <t>[count] =&gt; 54</t>
  </si>
  <si>
    <t>[count] =&gt; 3</t>
  </si>
  <si>
    <t>[count] =&gt; 222</t>
  </si>
  <si>
    <t>[count] =&gt; 34</t>
  </si>
  <si>
    <t>[count] =&gt; 90</t>
  </si>
  <si>
    <t>[count] =&gt; 14</t>
  </si>
  <si>
    <t>[count] =&gt; 313</t>
  </si>
  <si>
    <t>[count] =&gt; 37</t>
  </si>
  <si>
    <t>[round_number] =&gt; 3</t>
  </si>
  <si>
    <t>[attacker_hits] =&gt; 2025</t>
  </si>
  <si>
    <t>[attacker_absorbed] =&gt; 14376</t>
  </si>
  <si>
    <t>[attacker_fullstrength] =&gt; 319081</t>
  </si>
  <si>
    <t>[defender_hits] =&gt; 622</t>
  </si>
  <si>
    <t>[defender_absorbed] =&gt; 48126</t>
  </si>
  <si>
    <t>[defender_fullstrength] =&gt; 228776</t>
  </si>
  <si>
    <t>[count] =&gt; 23</t>
  </si>
  <si>
    <t>[count] =&gt; 1187</t>
  </si>
  <si>
    <t>[count] =&gt; 510</t>
  </si>
  <si>
    <t>[count] =&gt; 115</t>
  </si>
  <si>
    <t>[count] =&gt; 30</t>
  </si>
  <si>
    <t>[count] =&gt; 0</t>
  </si>
  <si>
    <t>[count] =&gt; 183</t>
  </si>
  <si>
    <t>[count] =&gt; 21</t>
  </si>
  <si>
    <t>[round_number] =&gt; 4</t>
  </si>
  <si>
    <t>[attacker_hits] =&gt; 1852</t>
  </si>
  <si>
    <t>[attacker_absorbed] =&gt; 8019</t>
  </si>
  <si>
    <t>[attacker_fullstrength] =&gt; 325192</t>
  </si>
  <si>
    <t>[defender_hits] =&gt; 275</t>
  </si>
  <si>
    <t>[defender_absorbed] =&gt; 46054</t>
  </si>
  <si>
    <t>[defender_fullstrength] =&gt; 174053</t>
  </si>
  <si>
    <t>[count] =&gt; 20</t>
  </si>
  <si>
    <t>[count] =&gt; 1115</t>
  </si>
  <si>
    <t>[count] =&gt; 476</t>
  </si>
  <si>
    <t>[count] =&gt; 72</t>
  </si>
  <si>
    <t>[count] =&gt; 7</t>
  </si>
  <si>
    <t>[count] =&gt; 44</t>
  </si>
  <si>
    <t>[count] =&gt; 19</t>
  </si>
  <si>
    <t>[count] =&gt; 10</t>
  </si>
  <si>
    <t>[count] =&gt; 13</t>
  </si>
  <si>
    <t>[count] =&gt; 33</t>
  </si>
  <si>
    <t>[count] =&gt; 6</t>
  </si>
  <si>
    <t>[round_number] =&gt; 5</t>
  </si>
  <si>
    <t>[attacker_hits] =&gt; 1751</t>
  </si>
  <si>
    <t>[attacker_absorbed] =&gt; 8756</t>
  </si>
  <si>
    <t>[attacker_fullstrength] =&gt; 325345</t>
  </si>
  <si>
    <t>[defender_hits] =&gt; 119</t>
  </si>
  <si>
    <t>[defender_absorbed] =&gt; 42143</t>
  </si>
  <si>
    <t>[defender_fullstrength] =&gt; 141654</t>
  </si>
  <si>
    <t>[count] =&gt; 89</t>
  </si>
  <si>
    <t>[count] =&gt; 1061</t>
  </si>
  <si>
    <t>[count] =&gt; 459</t>
  </si>
  <si>
    <t>[count] =&gt; 22</t>
  </si>
  <si>
    <t>[round_number] =&gt; 6</t>
  </si>
  <si>
    <t>[attacker_hits] =&gt; 1700</t>
  </si>
  <si>
    <t>[attacker_absorbed] =&gt; 695</t>
  </si>
  <si>
    <t>[attacker_fullstrength] =&gt; 345136</t>
  </si>
  <si>
    <t>[defender_hits] =&gt; 40</t>
  </si>
  <si>
    <t>[defender_absorbed] =&gt; 34411</t>
  </si>
  <si>
    <t>[defender_fullstrength] =&gt; 68582</t>
  </si>
  <si>
    <t>[count] =&gt; 1033</t>
  </si>
  <si>
    <t>[count] =&gt; 449</t>
  </si>
  <si>
    <t>© NoMoreAngel || Impressum || Datenschutzerklärung</t>
  </si>
  <si>
    <t>API Key</t>
  </si>
  <si>
    <t>Type</t>
  </si>
  <si>
    <t>Infinite</t>
  </si>
  <si>
    <t>GeneralAnasazi</t>
  </si>
  <si>
    <t>Spio</t>
  </si>
  <si>
    <t>Kolo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</si>
</sst>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2" applyNumberFormat="0" applyAlignment="0" applyProtection="0"/>
  </cellStyleXfs>
  <cellXfs count="42">
    <xf numFmtId="0" fontId="0" fillId="0" borderId="0" xfId="0"/>
    <xf numFmtId="3" fontId="0" fillId="0" borderId="0" xfId="0" applyNumberFormat="1"/>
    <xf numFmtId="0" fontId="4" fillId="0" borderId="3" xfId="0" applyFont="1" applyBorder="1"/>
    <xf numFmtId="0" fontId="4" fillId="0" borderId="3" xfId="0" applyFont="1" applyBorder="1" applyAlignment="1">
      <alignment horizontal="center"/>
    </xf>
    <xf numFmtId="0" fontId="0" fillId="4" borderId="4" xfId="0" applyFill="1" applyBorder="1"/>
    <xf numFmtId="0" fontId="0" fillId="5" borderId="3" xfId="0" applyFill="1" applyBorder="1"/>
    <xf numFmtId="0" fontId="6" fillId="5" borderId="0" xfId="0" applyFont="1" applyFill="1" applyAlignment="1">
      <alignment horizontal="center"/>
    </xf>
    <xf numFmtId="0" fontId="0" fillId="4" borderId="0" xfId="0" applyFill="1"/>
    <xf numFmtId="0" fontId="4" fillId="5" borderId="3" xfId="0" applyFont="1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4" fillId="6" borderId="8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7" xfId="0" applyFont="1" applyFill="1" applyBorder="1" applyAlignment="1">
      <alignment horizontal="center"/>
    </xf>
    <xf numFmtId="0" fontId="4" fillId="5" borderId="5" xfId="0" applyFont="1" applyFill="1" applyBorder="1"/>
    <xf numFmtId="0" fontId="4" fillId="5" borderId="6" xfId="0" applyFont="1" applyFill="1" applyBorder="1"/>
    <xf numFmtId="0" fontId="4" fillId="5" borderId="7" xfId="0" applyFont="1" applyFill="1" applyBorder="1"/>
    <xf numFmtId="3" fontId="2" fillId="2" borderId="1" xfId="2" applyNumberFormat="1"/>
    <xf numFmtId="3" fontId="0" fillId="4" borderId="4" xfId="0" applyNumberFormat="1" applyFill="1" applyBorder="1"/>
    <xf numFmtId="3" fontId="2" fillId="2" borderId="9" xfId="2" applyNumberFormat="1" applyBorder="1"/>
    <xf numFmtId="3" fontId="2" fillId="2" borderId="10" xfId="2" applyNumberFormat="1" applyBorder="1"/>
    <xf numFmtId="3" fontId="2" fillId="2" borderId="11" xfId="2" applyNumberFormat="1" applyBorder="1"/>
    <xf numFmtId="3" fontId="0" fillId="4" borderId="0" xfId="0" applyNumberFormat="1" applyFill="1"/>
    <xf numFmtId="3" fontId="0" fillId="4" borderId="0" xfId="0" applyNumberFormat="1" applyFill="1" applyBorder="1"/>
    <xf numFmtId="0" fontId="3" fillId="3" borderId="2" xfId="3"/>
    <xf numFmtId="3" fontId="3" fillId="3" borderId="2" xfId="3" applyNumberFormat="1"/>
    <xf numFmtId="9" fontId="2" fillId="2" borderId="1" xfId="1" applyFont="1" applyFill="1" applyBorder="1" applyAlignment="1">
      <alignment horizontal="center"/>
    </xf>
    <xf numFmtId="0" fontId="2" fillId="2" borderId="12" xfId="2" applyBorder="1" applyAlignment="1">
      <alignment horizontal="center"/>
    </xf>
    <xf numFmtId="0" fontId="2" fillId="2" borderId="0" xfId="2" applyBorder="1" applyAlignment="1">
      <alignment horizontal="center"/>
    </xf>
    <xf numFmtId="0" fontId="4" fillId="6" borderId="4" xfId="0" applyFont="1" applyFill="1" applyBorder="1" applyAlignment="1">
      <alignment horizontal="center"/>
    </xf>
    <xf numFmtId="0" fontId="4" fillId="6" borderId="0" xfId="0" applyFont="1" applyFill="1" applyBorder="1" applyAlignment="1">
      <alignment horizontal="center"/>
    </xf>
    <xf numFmtId="0" fontId="6" fillId="7" borderId="0" xfId="0" applyFont="1" applyFill="1" applyAlignment="1">
      <alignment horizontal="center"/>
    </xf>
    <xf numFmtId="0" fontId="5" fillId="6" borderId="4" xfId="0" applyFont="1" applyFill="1" applyBorder="1" applyAlignment="1">
      <alignment horizontal="center"/>
    </xf>
    <xf numFmtId="0" fontId="5" fillId="6" borderId="0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0" fontId="6" fillId="6" borderId="0" xfId="0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6" fillId="5" borderId="0" xfId="0" applyFont="1" applyFill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4" fillId="5" borderId="0" xfId="0" applyFont="1" applyFill="1" applyBorder="1"/>
    <xf numFmtId="0" fontId="4" fillId="5" borderId="0" xfId="0" applyFont="1" applyFill="1" applyAlignment="1">
      <alignment horizontal="center"/>
    </xf>
    <xf numFmtId="3" fontId="3" fillId="3" borderId="2" xfId="3" applyNumberFormat="1" applyAlignment="1">
      <alignment horizontal="center"/>
    </xf>
  </cellXfs>
  <cellStyles count="4">
    <cellStyle name="Ausgabe" xfId="3" builtinId="21"/>
    <cellStyle name="Eingabe" xfId="2" builtinId="20"/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247650</xdr:colOff>
          <xdr:row>30</xdr:row>
          <xdr:rowOff>76200</xdr:rowOff>
        </xdr:from>
        <xdr:to>
          <xdr:col>14</xdr:col>
          <xdr:colOff>342900</xdr:colOff>
          <xdr:row>31</xdr:row>
          <xdr:rowOff>114300</xdr:rowOff>
        </xdr:to>
        <xdr:sp macro="" textlink="">
          <xdr:nvSpPr>
            <xdr:cNvPr id="2049" name="Load CR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Load CR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428625</xdr:colOff>
          <xdr:row>30</xdr:row>
          <xdr:rowOff>76200</xdr:rowOff>
        </xdr:from>
        <xdr:to>
          <xdr:col>15</xdr:col>
          <xdr:colOff>438150</xdr:colOff>
          <xdr:row>31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eDaten_38" headers="0" backgroundRefresh="0" connectionId="3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eDaten_37" headers="0" backgroundRefresh="0" connectionId="3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eDaten_36" headers="0" backgroundRefresh="0" connectionId="3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eDaten_35" headers="0" backgroundRefresh="0" connectionId="3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eDaten_34" headers="0" backgroundRefresh="0" connectionId="3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eDaten_33" headers="0" backgroundRefresh="0" connectionId="29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eDaten_32" headers="0" backgroundRefresh="0" connectionId="2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eDaten_31" headers="0" backgroundRefresh="0" connectionId="2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eDaten_30" headers="0" backgroundRefresh="0" connectionId="2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eDaten_29" headers="0" backgroundRefresh="0" connectionId="2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eDaten_28" headers="0" backgroundRefresh="0" connectionId="2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eDaten_27" headers="0" backgroundRefresh="0" connectionId="2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eDaten_26" headers="0" backgroundRefresh="0" connectionId="2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eDaten_25" headers="0" backgroundRefresh="0" connectionId="2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?apiid=cr-de-150-4ce341eae62d4bb416f7feb60f1bde07f00c564f&amp;rawOut=on" fillFormulas="1" connectionId="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eDaten_4" headers="0" backgroundRefresh="0" connectionId="3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eDaten_12" headers="0" backgroundRefresh="0" connectionId="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eDaten_17" headers="0" backgroundRefresh="0" connectionId="1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eDaten_22" headers="0" backgroundRefresh="0" connectionId="1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eDaten_7" headers="0" backgroundRefresh="0" connectionId="3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eDaten_16" headers="0" backgroundRefres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eDaten_3" headers="0" backgroundRefresh="0" connectionId="3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eDaten_11" headers="0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eDaten_21" headers="0" backgroundRefresh="0" connectionId="1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eDaten_2" headers="0" backgroundRefresh="0" connectionId="2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eDaten_15" headers="0" backgroundRefresh="0" connectionId="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eDaten_20" headers="0" backgroundRefresh="0" connectionId="1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eDaten_6" headers="0" backgroundRefresh="0" connectionId="3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eDaten_10" headers="0" backgroundRefresh="0" connectionId="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eDaten_24" headers="0" backgroundRefresh="0" connectionId="19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eDaten_1" headers="0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eDaten_9" headers="0" backgroundRefresh="0" connectionId="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eDaten_14" headers="0" backgroundRefresh="0" connectionId="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eDaten_19" headers="0" backgroundRefresh="0" connectionId="1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eDaten_5" headers="0" backgroundRefresh="0" connectionId="3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eDaten_23" headers="0" backgroundRefresh="0" connectionId="1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?apiid=cr-de-150-4ce341eae62d4bb416f7feb60f1bde07f00c564f&amp;rawOut=on_1" refreshOnLoad="1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eDaten_8" headers="0" backgroundRefresh="0" connectionId="4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eDaten_13" headers="0" backgroundRefresh="0" connectionId="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eDaten_18" headers="0" backgroundRefresh="0" connectionId="1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26" Type="http://schemas.openxmlformats.org/officeDocument/2006/relationships/queryTable" Target="../queryTables/queryTable25.xml"/><Relationship Id="rId39" Type="http://schemas.openxmlformats.org/officeDocument/2006/relationships/queryTable" Target="../queryTables/queryTable38.xml"/><Relationship Id="rId21" Type="http://schemas.openxmlformats.org/officeDocument/2006/relationships/queryTable" Target="../queryTables/queryTable20.xml"/><Relationship Id="rId34" Type="http://schemas.openxmlformats.org/officeDocument/2006/relationships/queryTable" Target="../queryTables/queryTable33.xml"/><Relationship Id="rId7" Type="http://schemas.openxmlformats.org/officeDocument/2006/relationships/queryTable" Target="../queryTables/queryTable6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0" Type="http://schemas.openxmlformats.org/officeDocument/2006/relationships/queryTable" Target="../queryTables/queryTable19.xml"/><Relationship Id="rId29" Type="http://schemas.openxmlformats.org/officeDocument/2006/relationships/queryTable" Target="../queryTables/queryTable28.xml"/><Relationship Id="rId41" Type="http://schemas.openxmlformats.org/officeDocument/2006/relationships/queryTable" Target="../queryTables/queryTable40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40" Type="http://schemas.openxmlformats.org/officeDocument/2006/relationships/queryTable" Target="../queryTables/queryTable39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36" Type="http://schemas.openxmlformats.org/officeDocument/2006/relationships/queryTable" Target="../queryTables/queryTable35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31" Type="http://schemas.openxmlformats.org/officeDocument/2006/relationships/queryTable" Target="../queryTables/queryTable30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8" Type="http://schemas.openxmlformats.org/officeDocument/2006/relationships/queryTable" Target="../queryTables/queryTable7.xml"/><Relationship Id="rId3" Type="http://schemas.openxmlformats.org/officeDocument/2006/relationships/queryTable" Target="../queryTables/queryTable2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AGZ42"/>
  <sheetViews>
    <sheetView tabSelected="1" workbookViewId="0">
      <selection activeCell="F35" sqref="F35"/>
    </sheetView>
  </sheetViews>
  <sheetFormatPr baseColWidth="10" defaultColWidth="0" defaultRowHeight="15" zeroHeight="1" x14ac:dyDescent="0.25"/>
  <cols>
    <col min="1" max="1" width="3.7109375" style="7" customWidth="1"/>
    <col min="2" max="2" width="8.28515625" customWidth="1"/>
    <col min="3" max="7" width="15.7109375" customWidth="1"/>
    <col min="8" max="8" width="3.7109375" customWidth="1"/>
    <col min="9" max="23" width="11.42578125" customWidth="1"/>
    <col min="24" max="24" width="3.7109375" style="7" customWidth="1"/>
    <col min="25" max="884" width="0" hidden="1" customWidth="1"/>
    <col min="885" max="16384" width="11.42578125" hidden="1"/>
  </cols>
  <sheetData>
    <row r="1" spans="2:23" ht="18" customHeight="1" x14ac:dyDescent="0.25"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</row>
    <row r="2" spans="2:23" ht="18.75" x14ac:dyDescent="0.3">
      <c r="B2" s="36" t="s">
        <v>15</v>
      </c>
      <c r="C2" s="36"/>
      <c r="D2" s="36"/>
      <c r="E2" s="36"/>
      <c r="F2" s="36"/>
      <c r="G2" s="36"/>
      <c r="H2" s="4"/>
      <c r="I2" s="33" t="s">
        <v>23</v>
      </c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</row>
    <row r="3" spans="2:23" ht="18.75" x14ac:dyDescent="0.3">
      <c r="B3" s="6"/>
      <c r="C3" s="40"/>
      <c r="D3" s="40"/>
      <c r="E3" s="40"/>
      <c r="F3" s="40"/>
      <c r="G3" s="40"/>
      <c r="H3" s="4"/>
      <c r="I3" s="28" t="s">
        <v>17</v>
      </c>
      <c r="J3" s="29"/>
      <c r="K3" s="29"/>
      <c r="L3" s="28" t="s">
        <v>18</v>
      </c>
      <c r="M3" s="29"/>
      <c r="N3" s="35"/>
      <c r="O3" s="29" t="s">
        <v>19</v>
      </c>
      <c r="P3" s="29"/>
      <c r="Q3" s="29"/>
      <c r="R3" s="28" t="s">
        <v>20</v>
      </c>
      <c r="S3" s="29"/>
      <c r="T3" s="35"/>
      <c r="U3" s="29" t="s">
        <v>21</v>
      </c>
      <c r="V3" s="29"/>
      <c r="W3" s="29"/>
    </row>
    <row r="4" spans="2:23" x14ac:dyDescent="0.25">
      <c r="B4" s="5"/>
      <c r="C4" s="8" t="s">
        <v>17</v>
      </c>
      <c r="D4" s="8" t="s">
        <v>18</v>
      </c>
      <c r="E4" s="8" t="s">
        <v>19</v>
      </c>
      <c r="F4" s="8" t="s">
        <v>20</v>
      </c>
      <c r="G4" s="8" t="s">
        <v>21</v>
      </c>
      <c r="H4" s="9"/>
      <c r="I4" s="10" t="s">
        <v>0</v>
      </c>
      <c r="J4" s="11" t="s">
        <v>1</v>
      </c>
      <c r="K4" s="11" t="s">
        <v>22</v>
      </c>
      <c r="L4" s="10" t="s">
        <v>0</v>
      </c>
      <c r="M4" s="11" t="s">
        <v>1</v>
      </c>
      <c r="N4" s="12" t="s">
        <v>22</v>
      </c>
      <c r="O4" s="11" t="s">
        <v>0</v>
      </c>
      <c r="P4" s="11" t="s">
        <v>1</v>
      </c>
      <c r="Q4" s="11" t="s">
        <v>22</v>
      </c>
      <c r="R4" s="10" t="s">
        <v>0</v>
      </c>
      <c r="S4" s="11" t="s">
        <v>1</v>
      </c>
      <c r="T4" s="12" t="s">
        <v>22</v>
      </c>
      <c r="U4" s="11" t="s">
        <v>0</v>
      </c>
      <c r="V4" s="11" t="s">
        <v>1</v>
      </c>
      <c r="W4" s="11" t="s">
        <v>22</v>
      </c>
    </row>
    <row r="5" spans="2:23" x14ac:dyDescent="0.25">
      <c r="B5" s="13" t="s">
        <v>5</v>
      </c>
      <c r="C5" s="16"/>
      <c r="D5" s="16"/>
      <c r="E5" s="16"/>
      <c r="F5" s="16"/>
      <c r="G5" s="16"/>
      <c r="H5" s="17"/>
      <c r="I5" s="16"/>
      <c r="J5" s="16"/>
      <c r="K5" s="18"/>
      <c r="L5" s="19"/>
      <c r="M5" s="16"/>
      <c r="N5" s="18"/>
      <c r="O5" s="19"/>
      <c r="P5" s="16"/>
      <c r="Q5" s="18"/>
      <c r="R5" s="19"/>
      <c r="S5" s="16"/>
      <c r="T5" s="18"/>
      <c r="U5" s="19"/>
      <c r="V5" s="16"/>
      <c r="W5" s="16"/>
    </row>
    <row r="6" spans="2:23" x14ac:dyDescent="0.25">
      <c r="B6" s="14" t="s">
        <v>6</v>
      </c>
      <c r="C6" s="16"/>
      <c r="D6" s="16"/>
      <c r="E6" s="16"/>
      <c r="F6" s="16"/>
      <c r="G6" s="16"/>
      <c r="H6" s="17"/>
      <c r="I6" s="16"/>
      <c r="J6" s="16"/>
      <c r="K6" s="18"/>
      <c r="L6" s="20"/>
      <c r="M6" s="16"/>
      <c r="N6" s="18"/>
      <c r="O6" s="20"/>
      <c r="P6" s="16"/>
      <c r="Q6" s="18"/>
      <c r="R6" s="20"/>
      <c r="S6" s="16"/>
      <c r="T6" s="18"/>
      <c r="U6" s="20"/>
      <c r="V6" s="16"/>
      <c r="W6" s="16"/>
    </row>
    <row r="7" spans="2:23" x14ac:dyDescent="0.25">
      <c r="B7" s="14" t="s">
        <v>7</v>
      </c>
      <c r="C7" s="16"/>
      <c r="D7" s="16"/>
      <c r="E7" s="16"/>
      <c r="F7" s="16"/>
      <c r="G7" s="16"/>
      <c r="H7" s="17"/>
      <c r="I7" s="16"/>
      <c r="J7" s="16"/>
      <c r="K7" s="18"/>
      <c r="L7" s="20"/>
      <c r="M7" s="16"/>
      <c r="N7" s="18"/>
      <c r="O7" s="20"/>
      <c r="P7" s="16"/>
      <c r="Q7" s="18"/>
      <c r="R7" s="20"/>
      <c r="S7" s="16"/>
      <c r="T7" s="18"/>
      <c r="U7" s="20"/>
      <c r="V7" s="16"/>
      <c r="W7" s="16"/>
    </row>
    <row r="8" spans="2:23" x14ac:dyDescent="0.25">
      <c r="B8" s="14" t="s">
        <v>8</v>
      </c>
      <c r="C8" s="16"/>
      <c r="D8" s="16"/>
      <c r="E8" s="16"/>
      <c r="F8" s="16"/>
      <c r="G8" s="16"/>
      <c r="H8" s="17"/>
      <c r="I8" s="16"/>
      <c r="J8" s="16"/>
      <c r="K8" s="18"/>
      <c r="L8" s="20"/>
      <c r="M8" s="16"/>
      <c r="N8" s="18"/>
      <c r="O8" s="20"/>
      <c r="P8" s="16"/>
      <c r="Q8" s="18"/>
      <c r="R8" s="20"/>
      <c r="S8" s="16"/>
      <c r="T8" s="18"/>
      <c r="U8" s="20"/>
      <c r="V8" s="16"/>
      <c r="W8" s="16"/>
    </row>
    <row r="9" spans="2:23" x14ac:dyDescent="0.25">
      <c r="B9" s="14" t="s">
        <v>9</v>
      </c>
      <c r="C9" s="16"/>
      <c r="D9" s="16"/>
      <c r="E9" s="16"/>
      <c r="F9" s="16"/>
      <c r="G9" s="16"/>
      <c r="H9" s="17"/>
      <c r="I9" s="16"/>
      <c r="J9" s="16"/>
      <c r="K9" s="18"/>
      <c r="L9" s="20"/>
      <c r="M9" s="16"/>
      <c r="N9" s="18"/>
      <c r="O9" s="20"/>
      <c r="P9" s="16"/>
      <c r="Q9" s="18"/>
      <c r="R9" s="20"/>
      <c r="S9" s="16"/>
      <c r="T9" s="18"/>
      <c r="U9" s="20"/>
      <c r="V9" s="16"/>
      <c r="W9" s="16"/>
    </row>
    <row r="10" spans="2:23" x14ac:dyDescent="0.25">
      <c r="B10" s="14" t="s">
        <v>10</v>
      </c>
      <c r="C10" s="16"/>
      <c r="D10" s="16"/>
      <c r="E10" s="16"/>
      <c r="F10" s="16"/>
      <c r="G10" s="16"/>
      <c r="H10" s="17"/>
      <c r="I10" s="16"/>
      <c r="J10" s="16"/>
      <c r="K10" s="18"/>
      <c r="L10" s="20"/>
      <c r="M10" s="16"/>
      <c r="N10" s="18"/>
      <c r="O10" s="20"/>
      <c r="P10" s="16"/>
      <c r="Q10" s="18"/>
      <c r="R10" s="20"/>
      <c r="S10" s="16"/>
      <c r="T10" s="18"/>
      <c r="U10" s="20"/>
      <c r="V10" s="16"/>
      <c r="W10" s="16"/>
    </row>
    <row r="11" spans="2:23" x14ac:dyDescent="0.25">
      <c r="B11" s="14" t="s">
        <v>11</v>
      </c>
      <c r="C11" s="16"/>
      <c r="D11" s="16"/>
      <c r="E11" s="16"/>
      <c r="F11" s="16"/>
      <c r="G11" s="16"/>
      <c r="H11" s="17"/>
      <c r="I11" s="16"/>
      <c r="J11" s="16"/>
      <c r="K11" s="18"/>
      <c r="L11" s="20"/>
      <c r="M11" s="16"/>
      <c r="N11" s="18"/>
      <c r="O11" s="20"/>
      <c r="P11" s="16"/>
      <c r="Q11" s="18"/>
      <c r="R11" s="20"/>
      <c r="S11" s="16"/>
      <c r="T11" s="18"/>
      <c r="U11" s="20"/>
      <c r="V11" s="16"/>
      <c r="W11" s="16"/>
    </row>
    <row r="12" spans="2:23" x14ac:dyDescent="0.25">
      <c r="B12" s="14" t="s">
        <v>12</v>
      </c>
      <c r="C12" s="16"/>
      <c r="D12" s="16"/>
      <c r="E12" s="16"/>
      <c r="F12" s="16"/>
      <c r="G12" s="16"/>
      <c r="H12" s="17"/>
      <c r="I12" s="16"/>
      <c r="J12" s="16"/>
      <c r="K12" s="18"/>
      <c r="L12" s="20"/>
      <c r="M12" s="16"/>
      <c r="N12" s="18"/>
      <c r="O12" s="20"/>
      <c r="P12" s="16"/>
      <c r="Q12" s="18"/>
      <c r="R12" s="20"/>
      <c r="S12" s="16"/>
      <c r="T12" s="18"/>
      <c r="U12" s="20"/>
      <c r="V12" s="16"/>
      <c r="W12" s="16"/>
    </row>
    <row r="13" spans="2:23" x14ac:dyDescent="0.25">
      <c r="B13" s="14" t="s">
        <v>13</v>
      </c>
      <c r="C13" s="16"/>
      <c r="D13" s="16"/>
      <c r="E13" s="16"/>
      <c r="F13" s="16"/>
      <c r="G13" s="16"/>
      <c r="H13" s="17"/>
      <c r="I13" s="16"/>
      <c r="J13" s="16"/>
      <c r="K13" s="18"/>
      <c r="L13" s="20"/>
      <c r="M13" s="16"/>
      <c r="N13" s="18"/>
      <c r="O13" s="20"/>
      <c r="P13" s="16"/>
      <c r="Q13" s="18"/>
      <c r="R13" s="20"/>
      <c r="S13" s="16"/>
      <c r="T13" s="18"/>
      <c r="U13" s="20"/>
      <c r="V13" s="16"/>
      <c r="W13" s="16"/>
    </row>
    <row r="14" spans="2:23" x14ac:dyDescent="0.25">
      <c r="B14" s="14" t="s">
        <v>14</v>
      </c>
      <c r="C14" s="16"/>
      <c r="D14" s="16"/>
      <c r="E14" s="16"/>
      <c r="F14" s="16"/>
      <c r="G14" s="16"/>
      <c r="H14" s="17"/>
      <c r="I14" s="16"/>
      <c r="J14" s="16"/>
      <c r="K14" s="18"/>
      <c r="L14" s="20"/>
      <c r="M14" s="16"/>
      <c r="N14" s="18"/>
      <c r="O14" s="20"/>
      <c r="P14" s="16"/>
      <c r="Q14" s="18"/>
      <c r="R14" s="20"/>
      <c r="S14" s="16"/>
      <c r="T14" s="18"/>
      <c r="U14" s="20"/>
      <c r="V14" s="16"/>
      <c r="W14" s="16"/>
    </row>
    <row r="15" spans="2:23" x14ac:dyDescent="0.25">
      <c r="B15" s="14" t="s">
        <v>16</v>
      </c>
      <c r="C15" s="16"/>
      <c r="D15" s="16"/>
      <c r="E15" s="16"/>
      <c r="F15" s="16"/>
      <c r="G15" s="16"/>
      <c r="H15" s="17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</row>
    <row r="16" spans="2:23" x14ac:dyDescent="0.25">
      <c r="B16" s="39" t="s">
        <v>320</v>
      </c>
      <c r="C16" s="16"/>
      <c r="D16" s="16"/>
      <c r="E16" s="16"/>
      <c r="F16" s="16"/>
      <c r="G16" s="16"/>
      <c r="H16" s="22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</row>
    <row r="17" spans="2:23" x14ac:dyDescent="0.25">
      <c r="B17" s="15" t="s">
        <v>321</v>
      </c>
      <c r="C17" s="16"/>
      <c r="D17" s="16"/>
      <c r="E17" s="16"/>
      <c r="F17" s="16"/>
      <c r="G17" s="16"/>
      <c r="H17" s="17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</row>
    <row r="18" spans="2:23" x14ac:dyDescent="0.25">
      <c r="B18" s="14" t="s">
        <v>0</v>
      </c>
      <c r="C18" s="24">
        <f>AKS!C5*Schiffe!B3+AKS!C6*Schiffe!B4+AKS!C7*Schiffe!B5+AKS!C8*Schiffe!B6+AKS!C9*Schiffe!B7+AKS!C10*Schiffe!B8+AKS!C11*Schiffe!B9+AKS!C12*Schiffe!B10+AKS!C13*Schiffe!B11+AKS!C14*Schiffe!B12+AKS!C15*Schiffe!B13+AKS!C16*Schiffe!B14+AKS!C17*Schiffe!B15</f>
        <v>0</v>
      </c>
      <c r="D18" s="24">
        <f>AKS!D5*Schiffe!B3+AKS!D6*Schiffe!B4+AKS!D7*Schiffe!B5+AKS!D8*Schiffe!B6+AKS!D9*Schiffe!B7+AKS!D10*Schiffe!B8+AKS!D11*Schiffe!B9+AKS!D12*Schiffe!B10+AKS!D13*Schiffe!B11+AKS!D14*Schiffe!B12+AKS!D15*Schiffe!B13+AKS!D16*Schiffe!B14+AKS!D17*Schiffe!B15</f>
        <v>0</v>
      </c>
      <c r="E18" s="24">
        <f>AKS!E5*Schiffe!B3+AKS!E6*Schiffe!B4+AKS!E7*Schiffe!B5+AKS!E8*Schiffe!B6+AKS!E9*Schiffe!B7+AKS!E10*Schiffe!B8+AKS!E11*Schiffe!B9+AKS!E12*Schiffe!B10+AKS!E13*Schiffe!B11+AKS!E14*Schiffe!B12+AKS!E15*Schiffe!B13+AKS!E16*Schiffe!B14+AKS!E17*Schiffe!B15</f>
        <v>0</v>
      </c>
      <c r="F18" s="24">
        <f>AKS!F5*Schiffe!B3+AKS!F6*Schiffe!B4+AKS!F7*Schiffe!B5+AKS!F8*Schiffe!B6+AKS!F9*Schiffe!B7+AKS!F10*Schiffe!B8+AKS!F11*Schiffe!B9+AKS!F12*Schiffe!B10+AKS!F13*Schiffe!B11+AKS!F14*Schiffe!B12+AKS!F15*Schiffe!B13+AKS!F16*Schiffe!B14+AKS!F17*Schiffe!B15</f>
        <v>0</v>
      </c>
      <c r="G18" s="24">
        <f>AKS!G5*Schiffe!B3+AKS!G6*Schiffe!B4+AKS!G7*Schiffe!B5+AKS!G8*Schiffe!B6+AKS!G9*Schiffe!B7+AKS!G10*Schiffe!B8+AKS!G11*Schiffe!B9+AKS!G12*Schiffe!B10+AKS!G13*Schiffe!B11+AKS!G14*Schiffe!B12+AKS!G15*Schiffe!B13+AKS!G16*Schiffe!B14+AKS!G17*Schiffe!B15</f>
        <v>0</v>
      </c>
      <c r="H18" s="17"/>
      <c r="I18" s="24">
        <f>SUM(I5:I15)</f>
        <v>0</v>
      </c>
      <c r="J18" s="24">
        <f>SUM(J5:J15)</f>
        <v>0</v>
      </c>
      <c r="K18" s="24">
        <f>SUM(K5:K15)</f>
        <v>0</v>
      </c>
      <c r="L18" s="24">
        <f>SUM(L5:L15)</f>
        <v>0</v>
      </c>
      <c r="M18" s="24">
        <f>SUM(M5:M15)</f>
        <v>0</v>
      </c>
      <c r="N18" s="24">
        <f>SUM(N5:N15)</f>
        <v>0</v>
      </c>
      <c r="O18" s="24">
        <f>SUM(O5:O15)</f>
        <v>0</v>
      </c>
      <c r="P18" s="24">
        <f>SUM(P5:P15)</f>
        <v>0</v>
      </c>
      <c r="Q18" s="24">
        <f>SUM(Q5:Q15)</f>
        <v>0</v>
      </c>
      <c r="R18" s="24">
        <f>SUM(R5:R15)</f>
        <v>0</v>
      </c>
      <c r="S18" s="24">
        <f>SUM(S5:S15)</f>
        <v>0</v>
      </c>
      <c r="T18" s="24">
        <f>SUM(T5:T15)</f>
        <v>0</v>
      </c>
      <c r="U18" s="24">
        <f>SUM(U5:U15)</f>
        <v>0</v>
      </c>
      <c r="V18" s="24">
        <f>SUM(V5:V15)</f>
        <v>0</v>
      </c>
      <c r="W18" s="24">
        <f>SUM(W5:W15)</f>
        <v>0</v>
      </c>
    </row>
    <row r="19" spans="2:23" x14ac:dyDescent="0.25">
      <c r="B19" s="14" t="s">
        <v>1</v>
      </c>
      <c r="C19" s="24">
        <f>AKS!C5*Schiffe!C3+AKS!C6*Schiffe!C4+AKS!C7*Schiffe!C5+AKS!C8*Schiffe!C6+AKS!C9*Schiffe!C7+AKS!C10*Schiffe!C8+AKS!C11*Schiffe!C9+AKS!C12*Schiffe!C10+AKS!C13*Schiffe!C11+AKS!C14*Schiffe!C12+AKS!C15*Schiffe!C13+AKS!C16*Schiffe!C14+AKS!C17*Schiffe!C15</f>
        <v>0</v>
      </c>
      <c r="D19" s="24">
        <f>AKS!D5*Schiffe!C3+AKS!D6*Schiffe!C4+AKS!D7*Schiffe!C5+AKS!D8*Schiffe!C6+AKS!D9*Schiffe!C7+AKS!D10*Schiffe!C8+AKS!D11*Schiffe!C9+AKS!D12*Schiffe!C10+AKS!D13*Schiffe!C11+AKS!D14*Schiffe!C12+AKS!D15*Schiffe!C13+AKS!D16*Schiffe!C14+AKS!D17*Schiffe!C15</f>
        <v>0</v>
      </c>
      <c r="E19" s="24">
        <f>AKS!E5*Schiffe!C3+AKS!E6*Schiffe!C4+AKS!E7*Schiffe!C5+AKS!E8*Schiffe!C6+AKS!E9*Schiffe!C7+AKS!E10*Schiffe!C8+AKS!E11*Schiffe!C9+AKS!E12*Schiffe!C10+AKS!E13*Schiffe!C11+AKS!E14*Schiffe!C12+AKS!E15*Schiffe!C13+AKS!E16*Schiffe!C14+AKS!E17*Schiffe!C15</f>
        <v>0</v>
      </c>
      <c r="F19" s="24">
        <f>AKS!F5*Schiffe!C3+AKS!F6*Schiffe!C4+AKS!F7*Schiffe!C5+AKS!F8*Schiffe!C6+AKS!F9*Schiffe!C7+AKS!F10*Schiffe!C8+AKS!F11*Schiffe!C9+AKS!F12*Schiffe!C10+AKS!F13*Schiffe!C11+AKS!F14*Schiffe!C12+AKS!F15*Schiffe!C13+AKS!F16*Schiffe!C14+AKS!F17*Schiffe!C15</f>
        <v>0</v>
      </c>
      <c r="G19" s="24">
        <f>AKS!G5*Schiffe!C3+AKS!G6*Schiffe!C4+AKS!G7*Schiffe!C5+AKS!G8*Schiffe!C6+AKS!G9*Schiffe!C7+AKS!G10*Schiffe!C8+AKS!G11*Schiffe!C9+AKS!G12*Schiffe!C10+AKS!G13*Schiffe!C11+AKS!G14*Schiffe!C12+AKS!G15*Schiffe!C13+AKS!G16*Schiffe!C14+AKS!G17*Schiffe!C15</f>
        <v>0</v>
      </c>
      <c r="H19" s="17"/>
      <c r="I19" s="21"/>
      <c r="J19" s="21"/>
      <c r="K19" s="21"/>
      <c r="L19" s="22"/>
      <c r="M19" s="22"/>
      <c r="N19" s="22"/>
      <c r="O19" s="21"/>
      <c r="P19" s="21"/>
      <c r="Q19" s="21"/>
      <c r="R19" s="22"/>
      <c r="S19" s="22"/>
      <c r="T19" s="22"/>
      <c r="U19" s="21"/>
      <c r="V19" s="21"/>
      <c r="W19" s="21"/>
    </row>
    <row r="20" spans="2:23" x14ac:dyDescent="0.25">
      <c r="B20" s="14" t="s">
        <v>22</v>
      </c>
      <c r="C20" s="24">
        <f>AKS!C5*Schiffe!D3+AKS!C6*Schiffe!D4+AKS!C7*Schiffe!D5+AKS!C8*Schiffe!D6+AKS!C9*Schiffe!D7+AKS!C10*Schiffe!D8+AKS!C11*Schiffe!D9+AKS!C12*Schiffe!D10+AKS!C13*Schiffe!D11+AKS!C14*Schiffe!D12+AKS!C15*Schiffe!D13</f>
        <v>0</v>
      </c>
      <c r="D20" s="24">
        <f>AKS!D5*Schiffe!D3+AKS!D6*Schiffe!D4+AKS!D7*Schiffe!D5+AKS!D8*Schiffe!D6+AKS!D9*Schiffe!D7+AKS!D10*Schiffe!D8+AKS!D11*Schiffe!D9+AKS!D12*Schiffe!D10+AKS!D13*Schiffe!D11+AKS!D14*Schiffe!D12+AKS!D15*Schiffe!D13</f>
        <v>0</v>
      </c>
      <c r="E20" s="24">
        <f>AKS!E5*Schiffe!D3+AKS!E6*Schiffe!D4+AKS!E7*Schiffe!D5+AKS!E8*Schiffe!D6+AKS!E9*Schiffe!D7+AKS!E10*Schiffe!D8+AKS!E11*Schiffe!D9+AKS!E12*Schiffe!D10+AKS!E13*Schiffe!D11+AKS!E14*Schiffe!D12+AKS!E15*Schiffe!D13</f>
        <v>0</v>
      </c>
      <c r="F20" s="24">
        <f>AKS!F5*Schiffe!D3+AKS!F6*Schiffe!D4+AKS!F7*Schiffe!D5+AKS!F8*Schiffe!D6+AKS!F9*Schiffe!D7+AKS!F10*Schiffe!D8+AKS!F11*Schiffe!D9+AKS!F12*Schiffe!D10+AKS!F13*Schiffe!D11+AKS!F14*Schiffe!D12+AKS!F15*Schiffe!D13</f>
        <v>0</v>
      </c>
      <c r="G20" s="24">
        <f>AKS!G5*Schiffe!D3+AKS!G6*Schiffe!D4+AKS!G7*Schiffe!D5+AKS!G8*Schiffe!D6+AKS!G9*Schiffe!D7+AKS!G10*Schiffe!D8+AKS!G11*Schiffe!D9+AKS!G12*Schiffe!D10+AKS!G13*Schiffe!D11+AKS!G14*Schiffe!D12+AKS!G15*Schiffe!D13</f>
        <v>0</v>
      </c>
      <c r="H20" s="17"/>
      <c r="I20" s="21"/>
      <c r="J20" s="21"/>
      <c r="K20" s="21"/>
      <c r="L20" s="22"/>
      <c r="M20" s="22"/>
      <c r="N20" s="22"/>
      <c r="O20" s="21"/>
      <c r="P20" s="21"/>
      <c r="Q20" s="21"/>
      <c r="R20" s="22"/>
      <c r="S20" s="22"/>
      <c r="T20" s="22"/>
      <c r="U20" s="21"/>
      <c r="V20" s="21"/>
      <c r="W20" s="21"/>
    </row>
    <row r="21" spans="2:23" x14ac:dyDescent="0.25"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2:23" x14ac:dyDescent="0.25"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2:23" x14ac:dyDescent="0.25"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2:23" ht="18.75" x14ac:dyDescent="0.3">
      <c r="B24" s="7"/>
      <c r="C24" s="28" t="s">
        <v>24</v>
      </c>
      <c r="D24" s="29"/>
      <c r="E24" s="29"/>
      <c r="F24" s="7"/>
      <c r="G24" s="7"/>
      <c r="H24" s="7"/>
      <c r="I24" s="33" t="s">
        <v>26</v>
      </c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</row>
    <row r="25" spans="2:23" x14ac:dyDescent="0.25">
      <c r="B25" s="7"/>
      <c r="C25" s="10" t="s">
        <v>0</v>
      </c>
      <c r="D25" s="11" t="s">
        <v>1</v>
      </c>
      <c r="E25" s="11" t="s">
        <v>22</v>
      </c>
      <c r="F25" s="7"/>
      <c r="G25" s="7"/>
      <c r="H25" s="7"/>
      <c r="I25" s="28" t="s">
        <v>17</v>
      </c>
      <c r="J25" s="29"/>
      <c r="K25" s="29"/>
      <c r="L25" s="28" t="s">
        <v>18</v>
      </c>
      <c r="M25" s="29"/>
      <c r="N25" s="35"/>
      <c r="O25" s="29" t="s">
        <v>19</v>
      </c>
      <c r="P25" s="29"/>
      <c r="Q25" s="29"/>
      <c r="R25" s="28" t="s">
        <v>20</v>
      </c>
      <c r="S25" s="29"/>
      <c r="T25" s="35"/>
      <c r="U25" s="29" t="s">
        <v>21</v>
      </c>
      <c r="V25" s="29"/>
      <c r="W25" s="29"/>
    </row>
    <row r="26" spans="2:23" x14ac:dyDescent="0.25">
      <c r="B26" s="7"/>
      <c r="C26" s="41">
        <f>SUM(I18,L18,O18,R18,U18)-SUM(C18:G18)</f>
        <v>0</v>
      </c>
      <c r="D26" s="41">
        <f>SUM(J18,M18,P18,S18,V18)-SUM(C19:G19)</f>
        <v>0</v>
      </c>
      <c r="E26" s="41">
        <f>SUM(K18,N18,Q18,T18,W18)-SUM(C20:G20)</f>
        <v>0</v>
      </c>
      <c r="F26" s="7"/>
      <c r="G26" s="7"/>
      <c r="H26" s="7"/>
      <c r="I26" s="10" t="s">
        <v>0</v>
      </c>
      <c r="J26" s="11" t="s">
        <v>1</v>
      </c>
      <c r="K26" s="11" t="s">
        <v>22</v>
      </c>
      <c r="L26" s="10" t="s">
        <v>0</v>
      </c>
      <c r="M26" s="11" t="s">
        <v>1</v>
      </c>
      <c r="N26" s="12" t="s">
        <v>22</v>
      </c>
      <c r="O26" s="11" t="s">
        <v>0</v>
      </c>
      <c r="P26" s="11" t="s">
        <v>1</v>
      </c>
      <c r="Q26" s="11" t="s">
        <v>22</v>
      </c>
      <c r="R26" s="10" t="s">
        <v>0</v>
      </c>
      <c r="S26" s="11" t="s">
        <v>1</v>
      </c>
      <c r="T26" s="12" t="s">
        <v>22</v>
      </c>
      <c r="U26" s="11" t="s">
        <v>0</v>
      </c>
      <c r="V26" s="11" t="s">
        <v>1</v>
      </c>
      <c r="W26" s="11" t="s">
        <v>22</v>
      </c>
    </row>
    <row r="27" spans="2:23" x14ac:dyDescent="0.25">
      <c r="B27" s="7"/>
      <c r="C27" s="7"/>
      <c r="D27" s="7"/>
      <c r="E27" s="7"/>
      <c r="F27" s="7"/>
      <c r="G27" s="7"/>
      <c r="H27" s="7"/>
      <c r="I27" s="23">
        <f>(C18-I18)+(C26*C32)</f>
        <v>0</v>
      </c>
      <c r="J27" s="23">
        <f>(C19-J18)+(D26*C32)</f>
        <v>0</v>
      </c>
      <c r="K27" s="23">
        <f>C20-K18+E26*C32</f>
        <v>0</v>
      </c>
      <c r="L27" s="23">
        <f>D18-L18+C26*D32</f>
        <v>0</v>
      </c>
      <c r="M27" s="23">
        <f>D19-M18+D26*D32</f>
        <v>0</v>
      </c>
      <c r="N27" s="23">
        <f>D20-N18+E26*D32</f>
        <v>0</v>
      </c>
      <c r="O27" s="23">
        <f>E18-O18+C26*E32</f>
        <v>0</v>
      </c>
      <c r="P27" s="23">
        <f>E19-P18+D26*E32</f>
        <v>0</v>
      </c>
      <c r="Q27" s="23">
        <f>E20-Q18+E26*E32</f>
        <v>0</v>
      </c>
      <c r="R27" s="23">
        <f>F18-R18+C26*F32</f>
        <v>0</v>
      </c>
      <c r="S27" s="23">
        <f>F19-S18+D26*F32</f>
        <v>0</v>
      </c>
      <c r="T27" s="23">
        <f>F20-T18+E26*F32</f>
        <v>0</v>
      </c>
      <c r="U27" s="23">
        <f>G18-U18+C26*G32</f>
        <v>0</v>
      </c>
      <c r="V27" s="23">
        <f>G19-V18+D26*G32</f>
        <v>0</v>
      </c>
      <c r="W27" s="23">
        <f>G20-W18+E26*G32</f>
        <v>0</v>
      </c>
    </row>
    <row r="28" spans="2:23" x14ac:dyDescent="0.25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2:23" ht="18.75" x14ac:dyDescent="0.3">
      <c r="B29" s="7"/>
      <c r="C29" s="30" t="s">
        <v>25</v>
      </c>
      <c r="D29" s="30"/>
      <c r="E29" s="30"/>
      <c r="F29" s="30"/>
      <c r="G29" s="30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2:23" x14ac:dyDescent="0.25">
      <c r="B30" s="7"/>
      <c r="C30" s="40"/>
      <c r="D30" s="40"/>
      <c r="E30" s="40"/>
      <c r="F30" s="40"/>
      <c r="G30" s="40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2:23" ht="15.75" x14ac:dyDescent="0.25">
      <c r="B31" s="7"/>
      <c r="C31" s="8" t="s">
        <v>17</v>
      </c>
      <c r="D31" s="8" t="s">
        <v>18</v>
      </c>
      <c r="E31" s="8" t="s">
        <v>19</v>
      </c>
      <c r="F31" s="8" t="s">
        <v>20</v>
      </c>
      <c r="G31" s="8" t="s">
        <v>21</v>
      </c>
      <c r="H31" s="7"/>
      <c r="I31" s="31" t="s">
        <v>316</v>
      </c>
      <c r="J31" s="32"/>
      <c r="K31" s="32"/>
      <c r="L31" s="32"/>
      <c r="M31" s="32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2:23" x14ac:dyDescent="0.25">
      <c r="B32" s="7"/>
      <c r="C32" s="25">
        <v>0.5</v>
      </c>
      <c r="D32" s="25">
        <v>0.5</v>
      </c>
      <c r="E32" s="25"/>
      <c r="F32" s="25"/>
      <c r="G32" s="25"/>
      <c r="H32" s="7"/>
      <c r="I32" s="26"/>
      <c r="J32" s="27"/>
      <c r="K32" s="27"/>
      <c r="L32" s="27"/>
      <c r="M32" s="2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2:23" x14ac:dyDescent="0.25"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2:23" x14ac:dyDescent="0.25"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2:23" x14ac:dyDescent="0.25"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2:23" x14ac:dyDescent="0.25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2:23" x14ac:dyDescent="0.25"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2:23" x14ac:dyDescent="0.25"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2:23" x14ac:dyDescent="0.25">
      <c r="B39" s="7"/>
      <c r="C39" s="7"/>
      <c r="D39" s="7"/>
      <c r="E39" s="7"/>
      <c r="F39" s="7"/>
      <c r="G39" s="7"/>
      <c r="H39" s="7"/>
      <c r="I39" s="21">
        <f t="shared" ref="I39:W39" si="0">SUM(I27:I38)</f>
        <v>0</v>
      </c>
      <c r="J39" s="21">
        <f t="shared" si="0"/>
        <v>0</v>
      </c>
      <c r="K39" s="21">
        <f t="shared" si="0"/>
        <v>0</v>
      </c>
      <c r="L39" s="17">
        <f t="shared" si="0"/>
        <v>0</v>
      </c>
      <c r="M39" s="22">
        <f t="shared" si="0"/>
        <v>0</v>
      </c>
      <c r="N39" s="22">
        <f t="shared" si="0"/>
        <v>0</v>
      </c>
      <c r="O39" s="17">
        <f t="shared" si="0"/>
        <v>0</v>
      </c>
      <c r="P39" s="21">
        <f t="shared" si="0"/>
        <v>0</v>
      </c>
      <c r="Q39" s="21">
        <f t="shared" si="0"/>
        <v>0</v>
      </c>
      <c r="R39" s="17">
        <f t="shared" si="0"/>
        <v>0</v>
      </c>
      <c r="S39" s="21">
        <f t="shared" si="0"/>
        <v>0</v>
      </c>
      <c r="T39" s="21">
        <f t="shared" si="0"/>
        <v>0</v>
      </c>
      <c r="U39" s="17">
        <f t="shared" si="0"/>
        <v>0</v>
      </c>
      <c r="V39" s="21">
        <f t="shared" si="0"/>
        <v>0</v>
      </c>
      <c r="W39" s="21">
        <f t="shared" si="0"/>
        <v>0</v>
      </c>
    </row>
    <row r="40" spans="2:23" x14ac:dyDescent="0.25"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2:23" x14ac:dyDescent="0.25"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2:23" hidden="1" x14ac:dyDescent="0.25"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</sheetData>
  <mergeCells count="17">
    <mergeCell ref="B2:G2"/>
    <mergeCell ref="I2:W2"/>
    <mergeCell ref="I3:K3"/>
    <mergeCell ref="L3:N3"/>
    <mergeCell ref="O3:Q3"/>
    <mergeCell ref="R3:T3"/>
    <mergeCell ref="U3:W3"/>
    <mergeCell ref="I32:M32"/>
    <mergeCell ref="C24:E24"/>
    <mergeCell ref="C29:G29"/>
    <mergeCell ref="I31:M31"/>
    <mergeCell ref="I24:W24"/>
    <mergeCell ref="I25:K25"/>
    <mergeCell ref="L25:N25"/>
    <mergeCell ref="O25:Q25"/>
    <mergeCell ref="R25:T25"/>
    <mergeCell ref="U25:W25"/>
  </mergeCells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Load CR">
              <controlPr defaultSize="0" print="0" autoFill="0" autoPict="0" macro="[0]!LoadCRReport">
                <anchor moveWithCells="1">
                  <from>
                    <xdr:col>13</xdr:col>
                    <xdr:colOff>247650</xdr:colOff>
                    <xdr:row>30</xdr:row>
                    <xdr:rowOff>76200</xdr:rowOff>
                  </from>
                  <to>
                    <xdr:col>14</xdr:col>
                    <xdr:colOff>342900</xdr:colOff>
                    <xdr:row>31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AKSData">
                <anchor moveWithCells="1" sizeWithCells="1">
                  <from>
                    <xdr:col>14</xdr:col>
                    <xdr:colOff>428625</xdr:colOff>
                    <xdr:row>30</xdr:row>
                    <xdr:rowOff>76200</xdr:rowOff>
                  </from>
                  <to>
                    <xdr:col>15</xdr:col>
                    <xdr:colOff>438150</xdr:colOff>
                    <xdr:row>31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E15"/>
  <sheetViews>
    <sheetView workbookViewId="0">
      <selection activeCell="A15" sqref="A15"/>
    </sheetView>
  </sheetViews>
  <sheetFormatPr baseColWidth="10" defaultRowHeight="15" x14ac:dyDescent="0.25"/>
  <sheetData>
    <row r="1" spans="1:5" x14ac:dyDescent="0.25">
      <c r="A1" s="37" t="s">
        <v>3</v>
      </c>
      <c r="B1" s="37"/>
      <c r="C1" s="37"/>
      <c r="D1" s="37"/>
    </row>
    <row r="2" spans="1:5" x14ac:dyDescent="0.25">
      <c r="A2" s="2" t="s">
        <v>4</v>
      </c>
      <c r="B2" s="3" t="s">
        <v>0</v>
      </c>
      <c r="C2" s="3" t="s">
        <v>1</v>
      </c>
      <c r="D2" s="3" t="s">
        <v>2</v>
      </c>
      <c r="E2" s="38" t="s">
        <v>317</v>
      </c>
    </row>
    <row r="3" spans="1:5" x14ac:dyDescent="0.25">
      <c r="A3" t="s">
        <v>5</v>
      </c>
      <c r="B3" s="1">
        <v>2000</v>
      </c>
      <c r="C3" s="1">
        <v>2000</v>
      </c>
      <c r="D3" s="1">
        <v>0</v>
      </c>
      <c r="E3" s="1">
        <v>202</v>
      </c>
    </row>
    <row r="4" spans="1:5" x14ac:dyDescent="0.25">
      <c r="A4" t="s">
        <v>6</v>
      </c>
      <c r="B4" s="1">
        <v>3000</v>
      </c>
      <c r="C4" s="1">
        <v>1000</v>
      </c>
      <c r="D4" s="1">
        <v>0</v>
      </c>
      <c r="E4" s="1">
        <v>204</v>
      </c>
    </row>
    <row r="5" spans="1:5" x14ac:dyDescent="0.25">
      <c r="A5" t="s">
        <v>7</v>
      </c>
      <c r="B5" s="1">
        <v>6000</v>
      </c>
      <c r="C5" s="1">
        <v>6000</v>
      </c>
      <c r="D5" s="1">
        <v>0</v>
      </c>
      <c r="E5" s="1">
        <v>203</v>
      </c>
    </row>
    <row r="6" spans="1:5" x14ac:dyDescent="0.25">
      <c r="A6" t="s">
        <v>8</v>
      </c>
      <c r="B6" s="1">
        <v>6000</v>
      </c>
      <c r="C6" s="1">
        <v>4000</v>
      </c>
      <c r="D6" s="1">
        <v>0</v>
      </c>
      <c r="E6" s="1">
        <v>205</v>
      </c>
    </row>
    <row r="7" spans="1:5" x14ac:dyDescent="0.25">
      <c r="A7" t="s">
        <v>9</v>
      </c>
      <c r="B7" s="1">
        <v>20000</v>
      </c>
      <c r="C7" s="1">
        <v>7000</v>
      </c>
      <c r="D7" s="1">
        <v>2000</v>
      </c>
      <c r="E7" s="1">
        <v>206</v>
      </c>
    </row>
    <row r="8" spans="1:5" x14ac:dyDescent="0.25">
      <c r="A8" t="s">
        <v>10</v>
      </c>
      <c r="B8" s="1">
        <v>45000</v>
      </c>
      <c r="C8" s="1">
        <v>15000</v>
      </c>
      <c r="D8" s="1">
        <v>0</v>
      </c>
      <c r="E8" s="1">
        <v>207</v>
      </c>
    </row>
    <row r="9" spans="1:5" x14ac:dyDescent="0.25">
      <c r="A9" t="s">
        <v>11</v>
      </c>
      <c r="B9" s="1">
        <v>30000</v>
      </c>
      <c r="C9" s="1">
        <v>40000</v>
      </c>
      <c r="D9" s="1">
        <v>15000</v>
      </c>
      <c r="E9" s="1">
        <v>215</v>
      </c>
    </row>
    <row r="10" spans="1:5" x14ac:dyDescent="0.25">
      <c r="A10" t="s">
        <v>12</v>
      </c>
      <c r="B10" s="1">
        <v>50000</v>
      </c>
      <c r="C10" s="1">
        <v>25000</v>
      </c>
      <c r="D10" s="1">
        <v>15000</v>
      </c>
      <c r="E10" s="1">
        <v>211</v>
      </c>
    </row>
    <row r="11" spans="1:5" x14ac:dyDescent="0.25">
      <c r="A11" t="s">
        <v>13</v>
      </c>
      <c r="B11" s="1">
        <v>60000</v>
      </c>
      <c r="C11" s="1">
        <v>50000</v>
      </c>
      <c r="D11" s="1">
        <v>15000</v>
      </c>
      <c r="E11" s="1">
        <v>213</v>
      </c>
    </row>
    <row r="12" spans="1:5" x14ac:dyDescent="0.25">
      <c r="A12" t="s">
        <v>14</v>
      </c>
      <c r="B12" s="1">
        <v>5000000</v>
      </c>
      <c r="C12" s="1">
        <v>4000000</v>
      </c>
      <c r="D12" s="1">
        <v>1000000</v>
      </c>
      <c r="E12" s="1">
        <v>214</v>
      </c>
    </row>
    <row r="13" spans="1:5" x14ac:dyDescent="0.25">
      <c r="A13" t="s">
        <v>16</v>
      </c>
      <c r="B13" s="1">
        <v>10000</v>
      </c>
      <c r="C13" s="1">
        <v>6000</v>
      </c>
      <c r="D13" s="1">
        <v>2000</v>
      </c>
      <c r="E13" s="1">
        <v>209</v>
      </c>
    </row>
    <row r="14" spans="1:5" x14ac:dyDescent="0.25">
      <c r="A14" t="s">
        <v>320</v>
      </c>
      <c r="B14" s="1">
        <v>0</v>
      </c>
      <c r="C14" s="1">
        <v>1000</v>
      </c>
      <c r="D14" s="1">
        <v>0</v>
      </c>
      <c r="E14" s="1">
        <v>210</v>
      </c>
    </row>
    <row r="15" spans="1:5" x14ac:dyDescent="0.25">
      <c r="A15" t="s">
        <v>321</v>
      </c>
      <c r="B15" s="1">
        <v>10000</v>
      </c>
      <c r="C15" s="1">
        <v>20000</v>
      </c>
      <c r="D15" s="1">
        <v>10000</v>
      </c>
      <c r="E15" s="1">
        <v>208</v>
      </c>
    </row>
  </sheetData>
  <mergeCells count="1">
    <mergeCell ref="A1:D1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F1788"/>
  <sheetViews>
    <sheetView topLeftCell="A404" workbookViewId="0">
      <selection activeCell="A419" sqref="A419"/>
    </sheetView>
  </sheetViews>
  <sheetFormatPr baseColWidth="10" defaultRowHeight="15" x14ac:dyDescent="0.25"/>
  <cols>
    <col min="1" max="1" width="50.42578125" bestFit="1" customWidth="1"/>
    <col min="2" max="2" width="12.85546875" customWidth="1"/>
    <col min="3" max="3" width="21" bestFit="1" customWidth="1"/>
    <col min="4" max="4" width="15.28515625" bestFit="1" customWidth="1"/>
    <col min="5" max="5" width="3.140625" customWidth="1"/>
    <col min="6" max="6" width="5.42578125" customWidth="1"/>
  </cols>
  <sheetData>
    <row r="1" spans="1:6" x14ac:dyDescent="0.25">
      <c r="A1" t="s">
        <v>27</v>
      </c>
    </row>
    <row r="2" spans="1:6" x14ac:dyDescent="0.25">
      <c r="A2" t="s">
        <v>28</v>
      </c>
    </row>
    <row r="3" spans="1:6" x14ac:dyDescent="0.25">
      <c r="A3" t="s">
        <v>29</v>
      </c>
    </row>
    <row r="4" spans="1:6" x14ac:dyDescent="0.25">
      <c r="A4" t="s">
        <v>30</v>
      </c>
    </row>
    <row r="5" spans="1:6" x14ac:dyDescent="0.25">
      <c r="A5" t="s">
        <v>31</v>
      </c>
      <c r="B5" t="s">
        <v>32</v>
      </c>
    </row>
    <row r="6" spans="1:6" x14ac:dyDescent="0.25">
      <c r="A6" t="s">
        <v>33</v>
      </c>
    </row>
    <row r="7" spans="1:6" x14ac:dyDescent="0.25">
      <c r="B7" t="s">
        <v>34</v>
      </c>
      <c r="C7" t="s">
        <v>35</v>
      </c>
      <c r="D7" t="s">
        <v>36</v>
      </c>
    </row>
    <row r="8" spans="1:6" x14ac:dyDescent="0.25">
      <c r="B8" t="s">
        <v>33</v>
      </c>
    </row>
    <row r="9" spans="1:6" x14ac:dyDescent="0.25">
      <c r="B9" t="s">
        <v>37</v>
      </c>
      <c r="C9" t="s">
        <v>38</v>
      </c>
      <c r="D9" t="s">
        <v>39</v>
      </c>
    </row>
    <row r="10" spans="1:6" x14ac:dyDescent="0.25">
      <c r="C10" t="s">
        <v>33</v>
      </c>
    </row>
    <row r="11" spans="1:6" x14ac:dyDescent="0.25">
      <c r="D11" t="s">
        <v>40</v>
      </c>
      <c r="E11" t="s">
        <v>38</v>
      </c>
      <c r="F11">
        <v>401</v>
      </c>
    </row>
    <row r="12" spans="1:6" x14ac:dyDescent="0.25">
      <c r="D12" t="s">
        <v>41</v>
      </c>
      <c r="E12" t="s">
        <v>42</v>
      </c>
      <c r="F12" t="s">
        <v>43</v>
      </c>
    </row>
    <row r="13" spans="1:6" x14ac:dyDescent="0.25">
      <c r="C13" t="s">
        <v>44</v>
      </c>
    </row>
    <row r="15" spans="1:6" x14ac:dyDescent="0.25">
      <c r="A15" t="s">
        <v>45</v>
      </c>
      <c r="B15" t="s">
        <v>38</v>
      </c>
      <c r="C15" t="s">
        <v>39</v>
      </c>
    </row>
    <row r="16" spans="1:6" x14ac:dyDescent="0.25">
      <c r="B16" t="s">
        <v>33</v>
      </c>
    </row>
    <row r="17" spans="1:3" x14ac:dyDescent="0.25">
      <c r="C17" t="s">
        <v>46</v>
      </c>
    </row>
    <row r="18" spans="1:3" x14ac:dyDescent="0.25">
      <c r="C18" t="s">
        <v>47</v>
      </c>
    </row>
    <row r="19" spans="1:3" x14ac:dyDescent="0.25">
      <c r="B19" t="s">
        <v>44</v>
      </c>
    </row>
    <row r="21" spans="1:3" x14ac:dyDescent="0.25">
      <c r="A21" t="s">
        <v>48</v>
      </c>
      <c r="B21" t="s">
        <v>38</v>
      </c>
      <c r="C21" t="s">
        <v>39</v>
      </c>
    </row>
    <row r="22" spans="1:3" x14ac:dyDescent="0.25">
      <c r="B22" t="s">
        <v>33</v>
      </c>
    </row>
    <row r="23" spans="1:3" x14ac:dyDescent="0.25">
      <c r="C23" t="s">
        <v>49</v>
      </c>
    </row>
    <row r="24" spans="1:3" x14ac:dyDescent="0.25">
      <c r="C24" t="s">
        <v>50</v>
      </c>
    </row>
    <row r="25" spans="1:3" x14ac:dyDescent="0.25">
      <c r="B25" t="s">
        <v>44</v>
      </c>
    </row>
    <row r="27" spans="1:3" x14ac:dyDescent="0.25">
      <c r="A27" t="s">
        <v>51</v>
      </c>
      <c r="B27" t="s">
        <v>38</v>
      </c>
      <c r="C27" t="s">
        <v>39</v>
      </c>
    </row>
    <row r="28" spans="1:3" x14ac:dyDescent="0.25">
      <c r="B28" t="s">
        <v>33</v>
      </c>
    </row>
    <row r="29" spans="1:3" x14ac:dyDescent="0.25">
      <c r="C29" t="s">
        <v>52</v>
      </c>
    </row>
    <row r="30" spans="1:3" x14ac:dyDescent="0.25">
      <c r="C30" t="s">
        <v>53</v>
      </c>
    </row>
    <row r="31" spans="1:3" x14ac:dyDescent="0.25">
      <c r="B31" t="s">
        <v>44</v>
      </c>
    </row>
    <row r="33" spans="1:3" x14ac:dyDescent="0.25">
      <c r="A33" t="s">
        <v>54</v>
      </c>
      <c r="B33" t="s">
        <v>38</v>
      </c>
      <c r="C33" t="s">
        <v>39</v>
      </c>
    </row>
    <row r="34" spans="1:3" x14ac:dyDescent="0.25">
      <c r="B34" t="s">
        <v>33</v>
      </c>
    </row>
    <row r="35" spans="1:3" x14ac:dyDescent="0.25">
      <c r="C35" t="s">
        <v>55</v>
      </c>
    </row>
    <row r="36" spans="1:3" x14ac:dyDescent="0.25">
      <c r="C36" t="s">
        <v>56</v>
      </c>
    </row>
    <row r="37" spans="1:3" x14ac:dyDescent="0.25">
      <c r="B37" t="s">
        <v>44</v>
      </c>
    </row>
    <row r="39" spans="1:3" x14ac:dyDescent="0.25">
      <c r="A39" t="s">
        <v>57</v>
      </c>
      <c r="B39" t="s">
        <v>38</v>
      </c>
      <c r="C39" t="s">
        <v>39</v>
      </c>
    </row>
    <row r="40" spans="1:3" x14ac:dyDescent="0.25">
      <c r="B40" t="s">
        <v>33</v>
      </c>
    </row>
    <row r="41" spans="1:3" x14ac:dyDescent="0.25">
      <c r="C41" t="s">
        <v>58</v>
      </c>
    </row>
    <row r="42" spans="1:3" x14ac:dyDescent="0.25">
      <c r="C42" t="s">
        <v>59</v>
      </c>
    </row>
    <row r="43" spans="1:3" x14ac:dyDescent="0.25">
      <c r="B43" t="s">
        <v>44</v>
      </c>
    </row>
    <row r="45" spans="1:3" x14ac:dyDescent="0.25">
      <c r="A45" t="s">
        <v>44</v>
      </c>
    </row>
    <row r="47" spans="1:3" x14ac:dyDescent="0.25">
      <c r="A47" t="s">
        <v>60</v>
      </c>
    </row>
    <row r="48" spans="1:3" x14ac:dyDescent="0.25">
      <c r="A48" t="s">
        <v>33</v>
      </c>
    </row>
    <row r="49" spans="1:1" x14ac:dyDescent="0.25">
      <c r="A49" t="s">
        <v>61</v>
      </c>
    </row>
    <row r="50" spans="1:1" x14ac:dyDescent="0.25">
      <c r="A50" t="s">
        <v>62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65</v>
      </c>
    </row>
    <row r="54" spans="1:1" x14ac:dyDescent="0.25">
      <c r="A54" t="s">
        <v>66</v>
      </c>
    </row>
    <row r="55" spans="1:1" x14ac:dyDescent="0.25">
      <c r="A55" t="s">
        <v>67</v>
      </c>
    </row>
    <row r="56" spans="1:1" x14ac:dyDescent="0.25">
      <c r="A56" t="s">
        <v>68</v>
      </c>
    </row>
    <row r="57" spans="1:1" x14ac:dyDescent="0.25">
      <c r="A57" t="s">
        <v>69</v>
      </c>
    </row>
    <row r="58" spans="1:1" x14ac:dyDescent="0.25">
      <c r="A58" t="s">
        <v>70</v>
      </c>
    </row>
    <row r="59" spans="1:1" x14ac:dyDescent="0.25">
      <c r="A59" t="s">
        <v>71</v>
      </c>
    </row>
    <row r="60" spans="1:1" x14ac:dyDescent="0.25">
      <c r="A60" t="s">
        <v>72</v>
      </c>
    </row>
    <row r="61" spans="1:1" x14ac:dyDescent="0.25">
      <c r="A61" t="s">
        <v>73</v>
      </c>
    </row>
    <row r="62" spans="1:1" x14ac:dyDescent="0.25">
      <c r="A62" t="s">
        <v>74</v>
      </c>
    </row>
    <row r="63" spans="1:1" x14ac:dyDescent="0.25">
      <c r="A63" t="s">
        <v>75</v>
      </c>
    </row>
    <row r="64" spans="1:1" x14ac:dyDescent="0.25">
      <c r="A64" t="s">
        <v>76</v>
      </c>
    </row>
    <row r="65" spans="1:1" x14ac:dyDescent="0.25">
      <c r="A65" t="s">
        <v>77</v>
      </c>
    </row>
    <row r="66" spans="1:1" x14ac:dyDescent="0.25">
      <c r="A66" t="s">
        <v>78</v>
      </c>
    </row>
    <row r="67" spans="1:1" x14ac:dyDescent="0.25">
      <c r="A67" t="s">
        <v>79</v>
      </c>
    </row>
    <row r="68" spans="1:1" x14ac:dyDescent="0.25">
      <c r="A68" t="s">
        <v>80</v>
      </c>
    </row>
    <row r="69" spans="1:1" x14ac:dyDescent="0.25">
      <c r="A69" t="s">
        <v>81</v>
      </c>
    </row>
    <row r="70" spans="1:1" x14ac:dyDescent="0.25">
      <c r="A70" t="s">
        <v>82</v>
      </c>
    </row>
    <row r="71" spans="1:1" x14ac:dyDescent="0.25">
      <c r="A71" t="s">
        <v>83</v>
      </c>
    </row>
    <row r="72" spans="1:1" x14ac:dyDescent="0.25">
      <c r="A72" t="s">
        <v>84</v>
      </c>
    </row>
    <row r="73" spans="1:1" x14ac:dyDescent="0.25">
      <c r="A73" t="s">
        <v>85</v>
      </c>
    </row>
    <row r="74" spans="1:1" x14ac:dyDescent="0.25">
      <c r="A74" t="s">
        <v>86</v>
      </c>
    </row>
    <row r="75" spans="1:1" x14ac:dyDescent="0.25">
      <c r="A75" t="s">
        <v>87</v>
      </c>
    </row>
    <row r="76" spans="1:1" x14ac:dyDescent="0.25">
      <c r="A76" t="s">
        <v>33</v>
      </c>
    </row>
    <row r="77" spans="1:1" x14ac:dyDescent="0.25">
      <c r="A77" t="s">
        <v>88</v>
      </c>
    </row>
    <row r="78" spans="1:1" x14ac:dyDescent="0.25">
      <c r="A78" t="s">
        <v>33</v>
      </c>
    </row>
    <row r="79" spans="1:1" x14ac:dyDescent="0.25">
      <c r="A79" t="s">
        <v>89</v>
      </c>
    </row>
    <row r="80" spans="1:1" x14ac:dyDescent="0.25">
      <c r="A80" t="s">
        <v>90</v>
      </c>
    </row>
    <row r="81" spans="1:1" x14ac:dyDescent="0.25">
      <c r="A81" t="s">
        <v>44</v>
      </c>
    </row>
    <row r="83" spans="1:1" x14ac:dyDescent="0.25">
      <c r="A83" t="s">
        <v>91</v>
      </c>
    </row>
    <row r="84" spans="1:1" x14ac:dyDescent="0.25">
      <c r="A84" t="s">
        <v>33</v>
      </c>
    </row>
    <row r="85" spans="1:1" x14ac:dyDescent="0.25">
      <c r="A85" t="s">
        <v>92</v>
      </c>
    </row>
    <row r="86" spans="1:1" x14ac:dyDescent="0.25">
      <c r="A86" t="s">
        <v>93</v>
      </c>
    </row>
    <row r="87" spans="1:1" x14ac:dyDescent="0.25">
      <c r="A87" t="s">
        <v>44</v>
      </c>
    </row>
    <row r="89" spans="1:1" x14ac:dyDescent="0.25">
      <c r="A89" t="s">
        <v>94</v>
      </c>
    </row>
    <row r="90" spans="1:1" x14ac:dyDescent="0.25">
      <c r="A90" t="s">
        <v>33</v>
      </c>
    </row>
    <row r="91" spans="1:1" x14ac:dyDescent="0.25">
      <c r="A91" t="s">
        <v>95</v>
      </c>
    </row>
    <row r="92" spans="1:1" x14ac:dyDescent="0.25">
      <c r="A92" t="s">
        <v>93</v>
      </c>
    </row>
    <row r="93" spans="1:1" x14ac:dyDescent="0.25">
      <c r="A93" t="s">
        <v>44</v>
      </c>
    </row>
    <row r="95" spans="1:1" x14ac:dyDescent="0.25">
      <c r="A95" t="s">
        <v>96</v>
      </c>
    </row>
    <row r="96" spans="1:1" x14ac:dyDescent="0.25">
      <c r="A96" t="s">
        <v>33</v>
      </c>
    </row>
    <row r="97" spans="1:1" x14ac:dyDescent="0.25">
      <c r="A97" t="s">
        <v>97</v>
      </c>
    </row>
    <row r="98" spans="1:1" x14ac:dyDescent="0.25">
      <c r="A98" t="s">
        <v>98</v>
      </c>
    </row>
    <row r="99" spans="1:1" x14ac:dyDescent="0.25">
      <c r="A99" t="s">
        <v>44</v>
      </c>
    </row>
    <row r="101" spans="1:1" x14ac:dyDescent="0.25">
      <c r="A101" t="s">
        <v>99</v>
      </c>
    </row>
    <row r="102" spans="1:1" x14ac:dyDescent="0.25">
      <c r="A102" t="s">
        <v>33</v>
      </c>
    </row>
    <row r="103" spans="1:1" x14ac:dyDescent="0.25">
      <c r="A103" t="s">
        <v>100</v>
      </c>
    </row>
    <row r="104" spans="1:1" x14ac:dyDescent="0.25">
      <c r="A104" t="s">
        <v>101</v>
      </c>
    </row>
    <row r="105" spans="1:1" x14ac:dyDescent="0.25">
      <c r="A105" t="s">
        <v>44</v>
      </c>
    </row>
    <row r="107" spans="1:1" x14ac:dyDescent="0.25">
      <c r="A107" t="s">
        <v>44</v>
      </c>
    </row>
    <row r="109" spans="1:1" x14ac:dyDescent="0.25">
      <c r="A109" t="s">
        <v>44</v>
      </c>
    </row>
    <row r="111" spans="1:1" x14ac:dyDescent="0.25">
      <c r="A111" t="s">
        <v>102</v>
      </c>
    </row>
    <row r="112" spans="1:1" x14ac:dyDescent="0.25">
      <c r="A112" t="s">
        <v>33</v>
      </c>
    </row>
    <row r="113" spans="1:1" x14ac:dyDescent="0.25">
      <c r="A113" t="s">
        <v>88</v>
      </c>
    </row>
    <row r="114" spans="1:1" x14ac:dyDescent="0.25">
      <c r="A114" t="s">
        <v>33</v>
      </c>
    </row>
    <row r="115" spans="1:1" x14ac:dyDescent="0.25">
      <c r="A115" t="s">
        <v>103</v>
      </c>
    </row>
    <row r="116" spans="1:1" x14ac:dyDescent="0.25">
      <c r="A116" t="s">
        <v>104</v>
      </c>
    </row>
    <row r="117" spans="1:1" x14ac:dyDescent="0.25">
      <c r="A117" t="s">
        <v>105</v>
      </c>
    </row>
    <row r="118" spans="1:1" x14ac:dyDescent="0.25">
      <c r="A118" t="s">
        <v>106</v>
      </c>
    </row>
    <row r="119" spans="1:1" x14ac:dyDescent="0.25">
      <c r="A119" t="s">
        <v>107</v>
      </c>
    </row>
    <row r="120" spans="1:1" x14ac:dyDescent="0.25">
      <c r="A120" t="s">
        <v>108</v>
      </c>
    </row>
    <row r="121" spans="1:1" x14ac:dyDescent="0.25">
      <c r="A121" t="s">
        <v>109</v>
      </c>
    </row>
    <row r="122" spans="1:1" x14ac:dyDescent="0.25">
      <c r="A122" t="s">
        <v>110</v>
      </c>
    </row>
    <row r="123" spans="1:1" x14ac:dyDescent="0.25">
      <c r="A123" t="s">
        <v>111</v>
      </c>
    </row>
    <row r="124" spans="1:1" x14ac:dyDescent="0.25">
      <c r="A124" t="s">
        <v>112</v>
      </c>
    </row>
    <row r="125" spans="1:1" x14ac:dyDescent="0.25">
      <c r="A125" t="s">
        <v>33</v>
      </c>
    </row>
    <row r="126" spans="1:1" x14ac:dyDescent="0.25">
      <c r="A126" t="s">
        <v>88</v>
      </c>
    </row>
    <row r="127" spans="1:1" x14ac:dyDescent="0.25">
      <c r="A127" t="s">
        <v>33</v>
      </c>
    </row>
    <row r="128" spans="1:1" x14ac:dyDescent="0.25">
      <c r="A128" t="s">
        <v>113</v>
      </c>
    </row>
    <row r="129" spans="1:1" x14ac:dyDescent="0.25">
      <c r="A129" t="s">
        <v>114</v>
      </c>
    </row>
    <row r="130" spans="1:1" x14ac:dyDescent="0.25">
      <c r="A130" t="s">
        <v>115</v>
      </c>
    </row>
    <row r="131" spans="1:1" x14ac:dyDescent="0.25">
      <c r="A131" t="s">
        <v>116</v>
      </c>
    </row>
    <row r="132" spans="1:1" x14ac:dyDescent="0.25">
      <c r="A132" t="s">
        <v>117</v>
      </c>
    </row>
    <row r="133" spans="1:1" x14ac:dyDescent="0.25">
      <c r="A133" t="s">
        <v>44</v>
      </c>
    </row>
    <row r="135" spans="1:1" x14ac:dyDescent="0.25">
      <c r="A135" t="s">
        <v>44</v>
      </c>
    </row>
    <row r="137" spans="1:1" x14ac:dyDescent="0.25">
      <c r="A137" t="s">
        <v>44</v>
      </c>
    </row>
    <row r="139" spans="1:1" x14ac:dyDescent="0.25">
      <c r="A139" t="s">
        <v>91</v>
      </c>
    </row>
    <row r="140" spans="1:1" x14ac:dyDescent="0.25">
      <c r="A140" t="s">
        <v>33</v>
      </c>
    </row>
    <row r="141" spans="1:1" x14ac:dyDescent="0.25">
      <c r="A141" t="s">
        <v>118</v>
      </c>
    </row>
    <row r="142" spans="1:1" x14ac:dyDescent="0.25">
      <c r="A142" t="s">
        <v>119</v>
      </c>
    </row>
    <row r="143" spans="1:1" x14ac:dyDescent="0.25">
      <c r="A143" t="s">
        <v>105</v>
      </c>
    </row>
    <row r="144" spans="1:1" x14ac:dyDescent="0.25">
      <c r="A144" t="s">
        <v>120</v>
      </c>
    </row>
    <row r="145" spans="1:1" x14ac:dyDescent="0.25">
      <c r="A145" t="s">
        <v>121</v>
      </c>
    </row>
    <row r="146" spans="1:1" x14ac:dyDescent="0.25">
      <c r="A146" t="s">
        <v>122</v>
      </c>
    </row>
    <row r="147" spans="1:1" x14ac:dyDescent="0.25">
      <c r="A147" t="s">
        <v>123</v>
      </c>
    </row>
    <row r="148" spans="1:1" x14ac:dyDescent="0.25">
      <c r="A148" t="s">
        <v>124</v>
      </c>
    </row>
    <row r="149" spans="1:1" x14ac:dyDescent="0.25">
      <c r="A149" t="s">
        <v>125</v>
      </c>
    </row>
    <row r="150" spans="1:1" x14ac:dyDescent="0.25">
      <c r="A150" t="s">
        <v>112</v>
      </c>
    </row>
    <row r="151" spans="1:1" x14ac:dyDescent="0.25">
      <c r="A151" t="s">
        <v>33</v>
      </c>
    </row>
    <row r="152" spans="1:1" x14ac:dyDescent="0.25">
      <c r="A152" t="s">
        <v>88</v>
      </c>
    </row>
    <row r="153" spans="1:1" x14ac:dyDescent="0.25">
      <c r="A153" t="s">
        <v>33</v>
      </c>
    </row>
    <row r="154" spans="1:1" x14ac:dyDescent="0.25">
      <c r="A154" t="s">
        <v>126</v>
      </c>
    </row>
    <row r="155" spans="1:1" x14ac:dyDescent="0.25">
      <c r="A155" t="s">
        <v>127</v>
      </c>
    </row>
    <row r="156" spans="1:1" x14ac:dyDescent="0.25">
      <c r="A156" t="s">
        <v>128</v>
      </c>
    </row>
    <row r="157" spans="1:1" x14ac:dyDescent="0.25">
      <c r="A157" t="s">
        <v>129</v>
      </c>
    </row>
    <row r="158" spans="1:1" x14ac:dyDescent="0.25">
      <c r="A158" t="s">
        <v>130</v>
      </c>
    </row>
    <row r="159" spans="1:1" x14ac:dyDescent="0.25">
      <c r="A159" t="s">
        <v>44</v>
      </c>
    </row>
    <row r="161" spans="1:1" x14ac:dyDescent="0.25">
      <c r="A161" t="s">
        <v>91</v>
      </c>
    </row>
    <row r="162" spans="1:1" x14ac:dyDescent="0.25">
      <c r="A162" t="s">
        <v>33</v>
      </c>
    </row>
    <row r="163" spans="1:1" x14ac:dyDescent="0.25">
      <c r="A163" t="s">
        <v>89</v>
      </c>
    </row>
    <row r="164" spans="1:1" x14ac:dyDescent="0.25">
      <c r="A164" t="s">
        <v>127</v>
      </c>
    </row>
    <row r="165" spans="1:1" x14ac:dyDescent="0.25">
      <c r="A165" t="s">
        <v>128</v>
      </c>
    </row>
    <row r="166" spans="1:1" x14ac:dyDescent="0.25">
      <c r="A166" t="s">
        <v>131</v>
      </c>
    </row>
    <row r="167" spans="1:1" x14ac:dyDescent="0.25">
      <c r="A167" t="s">
        <v>132</v>
      </c>
    </row>
    <row r="168" spans="1:1" x14ac:dyDescent="0.25">
      <c r="A168" t="s">
        <v>44</v>
      </c>
    </row>
    <row r="170" spans="1:1" x14ac:dyDescent="0.25">
      <c r="A170" t="s">
        <v>44</v>
      </c>
    </row>
    <row r="172" spans="1:1" x14ac:dyDescent="0.25">
      <c r="A172" t="s">
        <v>44</v>
      </c>
    </row>
    <row r="174" spans="1:1" x14ac:dyDescent="0.25">
      <c r="A174" t="s">
        <v>94</v>
      </c>
    </row>
    <row r="175" spans="1:1" x14ac:dyDescent="0.25">
      <c r="A175" t="s">
        <v>33</v>
      </c>
    </row>
    <row r="176" spans="1:1" x14ac:dyDescent="0.25">
      <c r="A176" t="s">
        <v>103</v>
      </c>
    </row>
    <row r="177" spans="1:1" x14ac:dyDescent="0.25">
      <c r="A177" t="s">
        <v>104</v>
      </c>
    </row>
    <row r="178" spans="1:1" x14ac:dyDescent="0.25">
      <c r="A178" t="s">
        <v>105</v>
      </c>
    </row>
    <row r="179" spans="1:1" x14ac:dyDescent="0.25">
      <c r="A179" t="s">
        <v>106</v>
      </c>
    </row>
    <row r="180" spans="1:1" x14ac:dyDescent="0.25">
      <c r="A180" t="s">
        <v>107</v>
      </c>
    </row>
    <row r="181" spans="1:1" x14ac:dyDescent="0.25">
      <c r="A181" t="s">
        <v>108</v>
      </c>
    </row>
    <row r="182" spans="1:1" x14ac:dyDescent="0.25">
      <c r="A182" t="s">
        <v>109</v>
      </c>
    </row>
    <row r="183" spans="1:1" x14ac:dyDescent="0.25">
      <c r="A183" t="s">
        <v>110</v>
      </c>
    </row>
    <row r="184" spans="1:1" x14ac:dyDescent="0.25">
      <c r="A184" t="s">
        <v>111</v>
      </c>
    </row>
    <row r="185" spans="1:1" x14ac:dyDescent="0.25">
      <c r="A185" t="s">
        <v>112</v>
      </c>
    </row>
    <row r="186" spans="1:1" x14ac:dyDescent="0.25">
      <c r="A186" t="s">
        <v>33</v>
      </c>
    </row>
    <row r="187" spans="1:1" x14ac:dyDescent="0.25">
      <c r="A187" t="s">
        <v>88</v>
      </c>
    </row>
    <row r="188" spans="1:1" x14ac:dyDescent="0.25">
      <c r="A188" t="s">
        <v>33</v>
      </c>
    </row>
    <row r="189" spans="1:1" x14ac:dyDescent="0.25">
      <c r="A189" t="s">
        <v>89</v>
      </c>
    </row>
    <row r="190" spans="1:1" x14ac:dyDescent="0.25">
      <c r="A190" t="s">
        <v>133</v>
      </c>
    </row>
    <row r="191" spans="1:1" x14ac:dyDescent="0.25">
      <c r="A191" t="s">
        <v>134</v>
      </c>
    </row>
    <row r="192" spans="1:1" x14ac:dyDescent="0.25">
      <c r="A192" t="s">
        <v>135</v>
      </c>
    </row>
    <row r="193" spans="1:1" x14ac:dyDescent="0.25">
      <c r="A193" t="s">
        <v>136</v>
      </c>
    </row>
    <row r="194" spans="1:1" x14ac:dyDescent="0.25">
      <c r="A194" t="s">
        <v>44</v>
      </c>
    </row>
    <row r="196" spans="1:1" x14ac:dyDescent="0.25">
      <c r="A196" t="s">
        <v>44</v>
      </c>
    </row>
    <row r="198" spans="1:1" x14ac:dyDescent="0.25">
      <c r="A198" t="s">
        <v>44</v>
      </c>
    </row>
    <row r="200" spans="1:1" x14ac:dyDescent="0.25">
      <c r="A200" t="s">
        <v>44</v>
      </c>
    </row>
    <row r="202" spans="1:1" x14ac:dyDescent="0.25">
      <c r="A202" t="s">
        <v>137</v>
      </c>
    </row>
    <row r="203" spans="1:1" x14ac:dyDescent="0.25">
      <c r="A203" t="s">
        <v>33</v>
      </c>
    </row>
    <row r="204" spans="1:1" x14ac:dyDescent="0.25">
      <c r="A204" t="s">
        <v>88</v>
      </c>
    </row>
    <row r="205" spans="1:1" x14ac:dyDescent="0.25">
      <c r="A205" t="s">
        <v>33</v>
      </c>
    </row>
    <row r="206" spans="1:1" x14ac:dyDescent="0.25">
      <c r="A206" t="s">
        <v>138</v>
      </c>
    </row>
    <row r="207" spans="1:1" x14ac:dyDescent="0.25">
      <c r="A207" t="s">
        <v>139</v>
      </c>
    </row>
    <row r="208" spans="1:1" x14ac:dyDescent="0.25">
      <c r="A208" t="s">
        <v>140</v>
      </c>
    </row>
    <row r="209" spans="1:1" x14ac:dyDescent="0.25">
      <c r="A209" t="s">
        <v>141</v>
      </c>
    </row>
    <row r="210" spans="1:1" x14ac:dyDescent="0.25">
      <c r="A210" t="s">
        <v>142</v>
      </c>
    </row>
    <row r="211" spans="1:1" x14ac:dyDescent="0.25">
      <c r="A211" t="s">
        <v>143</v>
      </c>
    </row>
    <row r="212" spans="1:1" x14ac:dyDescent="0.25">
      <c r="A212" t="s">
        <v>109</v>
      </c>
    </row>
    <row r="213" spans="1:1" x14ac:dyDescent="0.25">
      <c r="A213" t="s">
        <v>110</v>
      </c>
    </row>
    <row r="214" spans="1:1" x14ac:dyDescent="0.25">
      <c r="A214" t="s">
        <v>111</v>
      </c>
    </row>
    <row r="215" spans="1:1" x14ac:dyDescent="0.25">
      <c r="A215" t="s">
        <v>112</v>
      </c>
    </row>
    <row r="216" spans="1:1" x14ac:dyDescent="0.25">
      <c r="A216" t="s">
        <v>33</v>
      </c>
    </row>
    <row r="217" spans="1:1" x14ac:dyDescent="0.25">
      <c r="A217" t="s">
        <v>88</v>
      </c>
    </row>
    <row r="218" spans="1:1" x14ac:dyDescent="0.25">
      <c r="A218" t="s">
        <v>33</v>
      </c>
    </row>
    <row r="219" spans="1:1" x14ac:dyDescent="0.25">
      <c r="A219" t="s">
        <v>95</v>
      </c>
    </row>
    <row r="220" spans="1:1" x14ac:dyDescent="0.25">
      <c r="A220" t="s">
        <v>144</v>
      </c>
    </row>
    <row r="221" spans="1:1" x14ac:dyDescent="0.25">
      <c r="A221" t="s">
        <v>145</v>
      </c>
    </row>
    <row r="222" spans="1:1" x14ac:dyDescent="0.25">
      <c r="A222" t="s">
        <v>146</v>
      </c>
    </row>
    <row r="223" spans="1:1" x14ac:dyDescent="0.25">
      <c r="A223" t="s">
        <v>147</v>
      </c>
    </row>
    <row r="224" spans="1:1" x14ac:dyDescent="0.25">
      <c r="A224" t="s">
        <v>44</v>
      </c>
    </row>
    <row r="226" spans="1:1" x14ac:dyDescent="0.25">
      <c r="A226" t="s">
        <v>91</v>
      </c>
    </row>
    <row r="227" spans="1:1" x14ac:dyDescent="0.25">
      <c r="A227" t="s">
        <v>33</v>
      </c>
    </row>
    <row r="228" spans="1:1" x14ac:dyDescent="0.25">
      <c r="A228" t="s">
        <v>89</v>
      </c>
    </row>
    <row r="229" spans="1:1" x14ac:dyDescent="0.25">
      <c r="A229" t="s">
        <v>133</v>
      </c>
    </row>
    <row r="230" spans="1:1" x14ac:dyDescent="0.25">
      <c r="A230" t="s">
        <v>134</v>
      </c>
    </row>
    <row r="231" spans="1:1" x14ac:dyDescent="0.25">
      <c r="A231" t="s">
        <v>135</v>
      </c>
    </row>
    <row r="232" spans="1:1" x14ac:dyDescent="0.25">
      <c r="A232" t="s">
        <v>148</v>
      </c>
    </row>
    <row r="233" spans="1:1" x14ac:dyDescent="0.25">
      <c r="A233" t="s">
        <v>44</v>
      </c>
    </row>
    <row r="235" spans="1:1" x14ac:dyDescent="0.25">
      <c r="A235" t="s">
        <v>94</v>
      </c>
    </row>
    <row r="236" spans="1:1" x14ac:dyDescent="0.25">
      <c r="A236" t="s">
        <v>33</v>
      </c>
    </row>
    <row r="237" spans="1:1" x14ac:dyDescent="0.25">
      <c r="A237" t="s">
        <v>149</v>
      </c>
    </row>
    <row r="238" spans="1:1" x14ac:dyDescent="0.25">
      <c r="A238" t="s">
        <v>150</v>
      </c>
    </row>
    <row r="239" spans="1:1" x14ac:dyDescent="0.25">
      <c r="A239" t="s">
        <v>151</v>
      </c>
    </row>
    <row r="240" spans="1:1" x14ac:dyDescent="0.25">
      <c r="A240" t="s">
        <v>152</v>
      </c>
    </row>
    <row r="241" spans="1:1" x14ac:dyDescent="0.25">
      <c r="A241" t="s">
        <v>153</v>
      </c>
    </row>
    <row r="242" spans="1:1" x14ac:dyDescent="0.25">
      <c r="A242" t="s">
        <v>44</v>
      </c>
    </row>
    <row r="244" spans="1:1" x14ac:dyDescent="0.25">
      <c r="A244" t="s">
        <v>96</v>
      </c>
    </row>
    <row r="245" spans="1:1" x14ac:dyDescent="0.25">
      <c r="A245" t="s">
        <v>33</v>
      </c>
    </row>
    <row r="246" spans="1:1" x14ac:dyDescent="0.25">
      <c r="A246" t="s">
        <v>97</v>
      </c>
    </row>
    <row r="247" spans="1:1" x14ac:dyDescent="0.25">
      <c r="A247" t="s">
        <v>154</v>
      </c>
    </row>
    <row r="248" spans="1:1" x14ac:dyDescent="0.25">
      <c r="A248" t="s">
        <v>155</v>
      </c>
    </row>
    <row r="249" spans="1:1" x14ac:dyDescent="0.25">
      <c r="A249" t="s">
        <v>156</v>
      </c>
    </row>
    <row r="250" spans="1:1" x14ac:dyDescent="0.25">
      <c r="A250" t="s">
        <v>90</v>
      </c>
    </row>
    <row r="251" spans="1:1" x14ac:dyDescent="0.25">
      <c r="A251" t="s">
        <v>44</v>
      </c>
    </row>
    <row r="253" spans="1:1" x14ac:dyDescent="0.25">
      <c r="A253" t="s">
        <v>99</v>
      </c>
    </row>
    <row r="254" spans="1:1" x14ac:dyDescent="0.25">
      <c r="A254" t="s">
        <v>33</v>
      </c>
    </row>
    <row r="255" spans="1:1" x14ac:dyDescent="0.25">
      <c r="A255" t="s">
        <v>92</v>
      </c>
    </row>
    <row r="256" spans="1:1" x14ac:dyDescent="0.25">
      <c r="A256" t="s">
        <v>157</v>
      </c>
    </row>
    <row r="257" spans="1:1" x14ac:dyDescent="0.25">
      <c r="A257" t="s">
        <v>134</v>
      </c>
    </row>
    <row r="258" spans="1:1" x14ac:dyDescent="0.25">
      <c r="A258" t="s">
        <v>158</v>
      </c>
    </row>
    <row r="259" spans="1:1" x14ac:dyDescent="0.25">
      <c r="A259" t="s">
        <v>159</v>
      </c>
    </row>
    <row r="260" spans="1:1" x14ac:dyDescent="0.25">
      <c r="A260" t="s">
        <v>44</v>
      </c>
    </row>
    <row r="262" spans="1:1" x14ac:dyDescent="0.25">
      <c r="A262" t="s">
        <v>160</v>
      </c>
    </row>
    <row r="263" spans="1:1" x14ac:dyDescent="0.25">
      <c r="A263" t="s">
        <v>33</v>
      </c>
    </row>
    <row r="264" spans="1:1" x14ac:dyDescent="0.25">
      <c r="A264" t="s">
        <v>161</v>
      </c>
    </row>
    <row r="265" spans="1:1" x14ac:dyDescent="0.25">
      <c r="A265" t="s">
        <v>162</v>
      </c>
    </row>
    <row r="266" spans="1:1" x14ac:dyDescent="0.25">
      <c r="A266" t="s">
        <v>163</v>
      </c>
    </row>
    <row r="267" spans="1:1" x14ac:dyDescent="0.25">
      <c r="A267" t="s">
        <v>164</v>
      </c>
    </row>
    <row r="268" spans="1:1" x14ac:dyDescent="0.25">
      <c r="A268" t="s">
        <v>165</v>
      </c>
    </row>
    <row r="269" spans="1:1" x14ac:dyDescent="0.25">
      <c r="A269" t="s">
        <v>44</v>
      </c>
    </row>
    <row r="271" spans="1:1" x14ac:dyDescent="0.25">
      <c r="A271" t="s">
        <v>166</v>
      </c>
    </row>
    <row r="272" spans="1:1" x14ac:dyDescent="0.25">
      <c r="A272" t="s">
        <v>33</v>
      </c>
    </row>
    <row r="273" spans="1:1" x14ac:dyDescent="0.25">
      <c r="A273" t="s">
        <v>100</v>
      </c>
    </row>
    <row r="274" spans="1:1" x14ac:dyDescent="0.25">
      <c r="A274" t="s">
        <v>167</v>
      </c>
    </row>
    <row r="275" spans="1:1" x14ac:dyDescent="0.25">
      <c r="A275" t="s">
        <v>168</v>
      </c>
    </row>
    <row r="276" spans="1:1" x14ac:dyDescent="0.25">
      <c r="A276" t="s">
        <v>156</v>
      </c>
    </row>
    <row r="277" spans="1:1" x14ac:dyDescent="0.25">
      <c r="A277" t="s">
        <v>169</v>
      </c>
    </row>
    <row r="278" spans="1:1" x14ac:dyDescent="0.25">
      <c r="A278" t="s">
        <v>44</v>
      </c>
    </row>
    <row r="280" spans="1:1" x14ac:dyDescent="0.25">
      <c r="A280" t="s">
        <v>170</v>
      </c>
    </row>
    <row r="281" spans="1:1" x14ac:dyDescent="0.25">
      <c r="A281" t="s">
        <v>33</v>
      </c>
    </row>
    <row r="282" spans="1:1" x14ac:dyDescent="0.25">
      <c r="A282" t="s">
        <v>171</v>
      </c>
    </row>
    <row r="283" spans="1:1" x14ac:dyDescent="0.25">
      <c r="A283" t="s">
        <v>172</v>
      </c>
    </row>
    <row r="284" spans="1:1" x14ac:dyDescent="0.25">
      <c r="A284" t="s">
        <v>173</v>
      </c>
    </row>
    <row r="285" spans="1:1" x14ac:dyDescent="0.25">
      <c r="A285" t="s">
        <v>158</v>
      </c>
    </row>
    <row r="286" spans="1:1" x14ac:dyDescent="0.25">
      <c r="A286" t="s">
        <v>174</v>
      </c>
    </row>
    <row r="287" spans="1:1" x14ac:dyDescent="0.25">
      <c r="A287" t="s">
        <v>44</v>
      </c>
    </row>
    <row r="289" spans="1:1" x14ac:dyDescent="0.25">
      <c r="A289" t="s">
        <v>175</v>
      </c>
    </row>
    <row r="290" spans="1:1" x14ac:dyDescent="0.25">
      <c r="A290" t="s">
        <v>33</v>
      </c>
    </row>
    <row r="291" spans="1:1" x14ac:dyDescent="0.25">
      <c r="A291" t="s">
        <v>176</v>
      </c>
    </row>
    <row r="292" spans="1:1" x14ac:dyDescent="0.25">
      <c r="A292" t="s">
        <v>172</v>
      </c>
    </row>
    <row r="293" spans="1:1" x14ac:dyDescent="0.25">
      <c r="A293" t="s">
        <v>177</v>
      </c>
    </row>
    <row r="294" spans="1:1" x14ac:dyDescent="0.25">
      <c r="A294" t="s">
        <v>178</v>
      </c>
    </row>
    <row r="295" spans="1:1" x14ac:dyDescent="0.25">
      <c r="A295" t="s">
        <v>179</v>
      </c>
    </row>
    <row r="296" spans="1:1" x14ac:dyDescent="0.25">
      <c r="A296" t="s">
        <v>44</v>
      </c>
    </row>
    <row r="298" spans="1:1" x14ac:dyDescent="0.25">
      <c r="A298" t="s">
        <v>180</v>
      </c>
    </row>
    <row r="299" spans="1:1" x14ac:dyDescent="0.25">
      <c r="A299" t="s">
        <v>33</v>
      </c>
    </row>
    <row r="300" spans="1:1" x14ac:dyDescent="0.25">
      <c r="A300" t="s">
        <v>181</v>
      </c>
    </row>
    <row r="301" spans="1:1" x14ac:dyDescent="0.25">
      <c r="A301" t="s">
        <v>172</v>
      </c>
    </row>
    <row r="302" spans="1:1" x14ac:dyDescent="0.25">
      <c r="A302" t="s">
        <v>145</v>
      </c>
    </row>
    <row r="303" spans="1:1" x14ac:dyDescent="0.25">
      <c r="A303" t="s">
        <v>182</v>
      </c>
    </row>
    <row r="304" spans="1:1" x14ac:dyDescent="0.25">
      <c r="A304" t="s">
        <v>183</v>
      </c>
    </row>
    <row r="305" spans="1:1" x14ac:dyDescent="0.25">
      <c r="A305" t="s">
        <v>44</v>
      </c>
    </row>
    <row r="307" spans="1:1" x14ac:dyDescent="0.25">
      <c r="A307" t="s">
        <v>184</v>
      </c>
    </row>
    <row r="308" spans="1:1" x14ac:dyDescent="0.25">
      <c r="A308" t="s">
        <v>33</v>
      </c>
    </row>
    <row r="309" spans="1:1" x14ac:dyDescent="0.25">
      <c r="A309" t="s">
        <v>185</v>
      </c>
    </row>
    <row r="310" spans="1:1" x14ac:dyDescent="0.25">
      <c r="A310" t="s">
        <v>186</v>
      </c>
    </row>
    <row r="311" spans="1:1" x14ac:dyDescent="0.25">
      <c r="A311" t="s">
        <v>187</v>
      </c>
    </row>
    <row r="312" spans="1:1" x14ac:dyDescent="0.25">
      <c r="A312" t="s">
        <v>188</v>
      </c>
    </row>
    <row r="313" spans="1:1" x14ac:dyDescent="0.25">
      <c r="A313" t="s">
        <v>189</v>
      </c>
    </row>
    <row r="314" spans="1:1" x14ac:dyDescent="0.25">
      <c r="A314" t="s">
        <v>44</v>
      </c>
    </row>
    <row r="316" spans="1:1" x14ac:dyDescent="0.25">
      <c r="A316" t="s">
        <v>190</v>
      </c>
    </row>
    <row r="317" spans="1:1" x14ac:dyDescent="0.25">
      <c r="A317" t="s">
        <v>33</v>
      </c>
    </row>
    <row r="318" spans="1:1" x14ac:dyDescent="0.25">
      <c r="A318" t="s">
        <v>191</v>
      </c>
    </row>
    <row r="319" spans="1:1" x14ac:dyDescent="0.25">
      <c r="A319" t="s">
        <v>192</v>
      </c>
    </row>
    <row r="320" spans="1:1" x14ac:dyDescent="0.25">
      <c r="A320" t="s">
        <v>155</v>
      </c>
    </row>
    <row r="321" spans="1:1" x14ac:dyDescent="0.25">
      <c r="A321" t="s">
        <v>193</v>
      </c>
    </row>
    <row r="322" spans="1:1" x14ac:dyDescent="0.25">
      <c r="A322" t="s">
        <v>194</v>
      </c>
    </row>
    <row r="323" spans="1:1" x14ac:dyDescent="0.25">
      <c r="A323" t="s">
        <v>44</v>
      </c>
    </row>
    <row r="325" spans="1:1" x14ac:dyDescent="0.25">
      <c r="A325" t="s">
        <v>195</v>
      </c>
    </row>
    <row r="326" spans="1:1" x14ac:dyDescent="0.25">
      <c r="A326" t="s">
        <v>33</v>
      </c>
    </row>
    <row r="327" spans="1:1" x14ac:dyDescent="0.25">
      <c r="A327" t="s">
        <v>196</v>
      </c>
    </row>
    <row r="328" spans="1:1" x14ac:dyDescent="0.25">
      <c r="A328" t="s">
        <v>186</v>
      </c>
    </row>
    <row r="329" spans="1:1" x14ac:dyDescent="0.25">
      <c r="A329" t="s">
        <v>168</v>
      </c>
    </row>
    <row r="330" spans="1:1" x14ac:dyDescent="0.25">
      <c r="A330" t="s">
        <v>197</v>
      </c>
    </row>
    <row r="331" spans="1:1" x14ac:dyDescent="0.25">
      <c r="A331" t="s">
        <v>198</v>
      </c>
    </row>
    <row r="332" spans="1:1" x14ac:dyDescent="0.25">
      <c r="A332" t="s">
        <v>44</v>
      </c>
    </row>
    <row r="334" spans="1:1" x14ac:dyDescent="0.25">
      <c r="A334" t="s">
        <v>199</v>
      </c>
    </row>
    <row r="335" spans="1:1" x14ac:dyDescent="0.25">
      <c r="A335" t="s">
        <v>33</v>
      </c>
    </row>
    <row r="336" spans="1:1" x14ac:dyDescent="0.25">
      <c r="A336" t="s">
        <v>200</v>
      </c>
    </row>
    <row r="337" spans="1:1" x14ac:dyDescent="0.25">
      <c r="A337" t="s">
        <v>201</v>
      </c>
    </row>
    <row r="338" spans="1:1" x14ac:dyDescent="0.25">
      <c r="A338" t="s">
        <v>202</v>
      </c>
    </row>
    <row r="339" spans="1:1" x14ac:dyDescent="0.25">
      <c r="A339" t="s">
        <v>158</v>
      </c>
    </row>
    <row r="340" spans="1:1" x14ac:dyDescent="0.25">
      <c r="A340" t="s">
        <v>203</v>
      </c>
    </row>
    <row r="341" spans="1:1" x14ac:dyDescent="0.25">
      <c r="A341" t="s">
        <v>44</v>
      </c>
    </row>
    <row r="343" spans="1:1" x14ac:dyDescent="0.25">
      <c r="A343" t="s">
        <v>204</v>
      </c>
    </row>
    <row r="344" spans="1:1" x14ac:dyDescent="0.25">
      <c r="A344" t="s">
        <v>33</v>
      </c>
    </row>
    <row r="345" spans="1:1" x14ac:dyDescent="0.25">
      <c r="A345" t="s">
        <v>205</v>
      </c>
    </row>
    <row r="346" spans="1:1" x14ac:dyDescent="0.25">
      <c r="A346" t="s">
        <v>206</v>
      </c>
    </row>
    <row r="347" spans="1:1" x14ac:dyDescent="0.25">
      <c r="A347" t="s">
        <v>207</v>
      </c>
    </row>
    <row r="348" spans="1:1" x14ac:dyDescent="0.25">
      <c r="A348" t="s">
        <v>158</v>
      </c>
    </row>
    <row r="349" spans="1:1" x14ac:dyDescent="0.25">
      <c r="A349" t="s">
        <v>203</v>
      </c>
    </row>
    <row r="350" spans="1:1" x14ac:dyDescent="0.25">
      <c r="A350" t="s">
        <v>44</v>
      </c>
    </row>
    <row r="352" spans="1:1" x14ac:dyDescent="0.25">
      <c r="A352" t="s">
        <v>44</v>
      </c>
    </row>
    <row r="354" spans="1:1" x14ac:dyDescent="0.25">
      <c r="A354" t="s">
        <v>44</v>
      </c>
    </row>
    <row r="356" spans="1:1" x14ac:dyDescent="0.25">
      <c r="A356" t="s">
        <v>44</v>
      </c>
    </row>
    <row r="358" spans="1:1" x14ac:dyDescent="0.25">
      <c r="A358" t="s">
        <v>208</v>
      </c>
    </row>
    <row r="359" spans="1:1" x14ac:dyDescent="0.25">
      <c r="A359" t="s">
        <v>33</v>
      </c>
    </row>
    <row r="360" spans="1:1" x14ac:dyDescent="0.25">
      <c r="A360" t="s">
        <v>88</v>
      </c>
    </row>
    <row r="361" spans="1:1" x14ac:dyDescent="0.25">
      <c r="A361" t="s">
        <v>33</v>
      </c>
    </row>
    <row r="362" spans="1:1" x14ac:dyDescent="0.25">
      <c r="A362" t="s">
        <v>209</v>
      </c>
    </row>
    <row r="363" spans="1:1" x14ac:dyDescent="0.25">
      <c r="A363" t="s">
        <v>210</v>
      </c>
    </row>
    <row r="364" spans="1:1" x14ac:dyDescent="0.25">
      <c r="A364" t="s">
        <v>33</v>
      </c>
    </row>
    <row r="365" spans="1:1" x14ac:dyDescent="0.25">
      <c r="A365" t="s">
        <v>211</v>
      </c>
    </row>
    <row r="366" spans="1:1" x14ac:dyDescent="0.25">
      <c r="A366" t="s">
        <v>212</v>
      </c>
    </row>
    <row r="367" spans="1:1" x14ac:dyDescent="0.25">
      <c r="A367" t="s">
        <v>213</v>
      </c>
    </row>
    <row r="368" spans="1:1" x14ac:dyDescent="0.25">
      <c r="A368" t="s">
        <v>214</v>
      </c>
    </row>
    <row r="369" spans="1:1" x14ac:dyDescent="0.25">
      <c r="A369" t="s">
        <v>215</v>
      </c>
    </row>
    <row r="370" spans="1:1" x14ac:dyDescent="0.25">
      <c r="A370" t="s">
        <v>216</v>
      </c>
    </row>
    <row r="371" spans="1:1" x14ac:dyDescent="0.25">
      <c r="A371" t="s">
        <v>44</v>
      </c>
    </row>
    <row r="373" spans="1:1" x14ac:dyDescent="0.25">
      <c r="A373" t="s">
        <v>217</v>
      </c>
    </row>
    <row r="374" spans="1:1" x14ac:dyDescent="0.25">
      <c r="A374" t="s">
        <v>33</v>
      </c>
    </row>
    <row r="375" spans="1:1" x14ac:dyDescent="0.25">
      <c r="A375" t="s">
        <v>88</v>
      </c>
    </row>
    <row r="376" spans="1:1" x14ac:dyDescent="0.25">
      <c r="A376" t="s">
        <v>33</v>
      </c>
    </row>
    <row r="377" spans="1:1" x14ac:dyDescent="0.25">
      <c r="A377" t="s">
        <v>218</v>
      </c>
    </row>
    <row r="378" spans="1:1" x14ac:dyDescent="0.25">
      <c r="A378" t="s">
        <v>113</v>
      </c>
    </row>
    <row r="379" spans="1:1" x14ac:dyDescent="0.25">
      <c r="A379" t="s">
        <v>117</v>
      </c>
    </row>
    <row r="380" spans="1:1" x14ac:dyDescent="0.25">
      <c r="A380" t="s">
        <v>44</v>
      </c>
    </row>
    <row r="382" spans="1:1" x14ac:dyDescent="0.25">
      <c r="A382" t="s">
        <v>91</v>
      </c>
    </row>
    <row r="383" spans="1:1" x14ac:dyDescent="0.25">
      <c r="A383" t="s">
        <v>33</v>
      </c>
    </row>
    <row r="384" spans="1:1" x14ac:dyDescent="0.25">
      <c r="A384" t="s">
        <v>219</v>
      </c>
    </row>
    <row r="385" spans="1:1" x14ac:dyDescent="0.25">
      <c r="A385" t="s">
        <v>126</v>
      </c>
    </row>
    <row r="386" spans="1:1" x14ac:dyDescent="0.25">
      <c r="A386" t="s">
        <v>220</v>
      </c>
    </row>
    <row r="387" spans="1:1" x14ac:dyDescent="0.25">
      <c r="A387" t="s">
        <v>44</v>
      </c>
    </row>
    <row r="389" spans="1:1" x14ac:dyDescent="0.25">
      <c r="A389" t="s">
        <v>94</v>
      </c>
    </row>
    <row r="390" spans="1:1" x14ac:dyDescent="0.25">
      <c r="A390" t="s">
        <v>33</v>
      </c>
    </row>
    <row r="391" spans="1:1" x14ac:dyDescent="0.25">
      <c r="A391" t="s">
        <v>219</v>
      </c>
    </row>
    <row r="392" spans="1:1" x14ac:dyDescent="0.25">
      <c r="A392" t="s">
        <v>89</v>
      </c>
    </row>
    <row r="393" spans="1:1" x14ac:dyDescent="0.25">
      <c r="A393" t="s">
        <v>221</v>
      </c>
    </row>
    <row r="394" spans="1:1" x14ac:dyDescent="0.25">
      <c r="A394" t="s">
        <v>44</v>
      </c>
    </row>
    <row r="396" spans="1:1" x14ac:dyDescent="0.25">
      <c r="A396" t="s">
        <v>96</v>
      </c>
    </row>
    <row r="397" spans="1:1" x14ac:dyDescent="0.25">
      <c r="A397" t="s">
        <v>33</v>
      </c>
    </row>
    <row r="398" spans="1:1" x14ac:dyDescent="0.25">
      <c r="A398" t="s">
        <v>222</v>
      </c>
    </row>
    <row r="399" spans="1:1" x14ac:dyDescent="0.25">
      <c r="A399" t="s">
        <v>89</v>
      </c>
    </row>
    <row r="400" spans="1:1" x14ac:dyDescent="0.25">
      <c r="A400" t="s">
        <v>223</v>
      </c>
    </row>
    <row r="401" spans="1:1" x14ac:dyDescent="0.25">
      <c r="A401" t="s">
        <v>44</v>
      </c>
    </row>
    <row r="403" spans="1:1" x14ac:dyDescent="0.25">
      <c r="A403" t="s">
        <v>44</v>
      </c>
    </row>
    <row r="405" spans="1:1" x14ac:dyDescent="0.25">
      <c r="A405" t="s">
        <v>224</v>
      </c>
    </row>
    <row r="406" spans="1:1" x14ac:dyDescent="0.25">
      <c r="A406" t="s">
        <v>33</v>
      </c>
    </row>
    <row r="407" spans="1:1" x14ac:dyDescent="0.25">
      <c r="A407" t="s">
        <v>88</v>
      </c>
    </row>
    <row r="408" spans="1:1" x14ac:dyDescent="0.25">
      <c r="A408" t="s">
        <v>33</v>
      </c>
    </row>
    <row r="409" spans="1:1" x14ac:dyDescent="0.25">
      <c r="A409" t="s">
        <v>219</v>
      </c>
    </row>
    <row r="410" spans="1:1" x14ac:dyDescent="0.25">
      <c r="A410" t="s">
        <v>126</v>
      </c>
    </row>
    <row r="411" spans="1:1" x14ac:dyDescent="0.25">
      <c r="A411" t="s">
        <v>101</v>
      </c>
    </row>
    <row r="412" spans="1:1" x14ac:dyDescent="0.25">
      <c r="A412" t="s">
        <v>44</v>
      </c>
    </row>
    <row r="414" spans="1:1" x14ac:dyDescent="0.25">
      <c r="A414" t="s">
        <v>91</v>
      </c>
    </row>
    <row r="415" spans="1:1" x14ac:dyDescent="0.25">
      <c r="A415" t="s">
        <v>33</v>
      </c>
    </row>
    <row r="416" spans="1:1" x14ac:dyDescent="0.25">
      <c r="A416" t="s">
        <v>219</v>
      </c>
    </row>
    <row r="417" spans="1:1" x14ac:dyDescent="0.25">
      <c r="A417" t="s">
        <v>89</v>
      </c>
    </row>
    <row r="418" spans="1:1" x14ac:dyDescent="0.25">
      <c r="A418" t="s">
        <v>225</v>
      </c>
    </row>
    <row r="419" spans="1:1" x14ac:dyDescent="0.25">
      <c r="A419" t="s">
        <v>44</v>
      </c>
    </row>
    <row r="421" spans="1:1" x14ac:dyDescent="0.25">
      <c r="A421" t="s">
        <v>94</v>
      </c>
    </row>
    <row r="422" spans="1:1" x14ac:dyDescent="0.25">
      <c r="A422" t="s">
        <v>33</v>
      </c>
    </row>
    <row r="423" spans="1:1" x14ac:dyDescent="0.25">
      <c r="A423" t="s">
        <v>222</v>
      </c>
    </row>
    <row r="424" spans="1:1" x14ac:dyDescent="0.25">
      <c r="A424" t="s">
        <v>89</v>
      </c>
    </row>
    <row r="425" spans="1:1" x14ac:dyDescent="0.25">
      <c r="A425" t="s">
        <v>226</v>
      </c>
    </row>
    <row r="426" spans="1:1" x14ac:dyDescent="0.25">
      <c r="A426" t="s">
        <v>44</v>
      </c>
    </row>
    <row r="428" spans="1:1" x14ac:dyDescent="0.25">
      <c r="A428" t="s">
        <v>44</v>
      </c>
    </row>
    <row r="430" spans="1:1" x14ac:dyDescent="0.25">
      <c r="A430" t="s">
        <v>227</v>
      </c>
    </row>
    <row r="431" spans="1:1" x14ac:dyDescent="0.25">
      <c r="A431" t="s">
        <v>33</v>
      </c>
    </row>
    <row r="432" spans="1:1" x14ac:dyDescent="0.25">
      <c r="A432" t="s">
        <v>88</v>
      </c>
    </row>
    <row r="433" spans="1:1" x14ac:dyDescent="0.25">
      <c r="A433" t="s">
        <v>33</v>
      </c>
    </row>
    <row r="434" spans="1:1" x14ac:dyDescent="0.25">
      <c r="A434" t="s">
        <v>218</v>
      </c>
    </row>
    <row r="435" spans="1:1" x14ac:dyDescent="0.25">
      <c r="A435" t="s">
        <v>95</v>
      </c>
    </row>
    <row r="436" spans="1:1" x14ac:dyDescent="0.25">
      <c r="A436" t="s">
        <v>147</v>
      </c>
    </row>
    <row r="437" spans="1:1" x14ac:dyDescent="0.25">
      <c r="A437" t="s">
        <v>44</v>
      </c>
    </row>
    <row r="439" spans="1:1" x14ac:dyDescent="0.25">
      <c r="A439" t="s">
        <v>91</v>
      </c>
    </row>
    <row r="440" spans="1:1" x14ac:dyDescent="0.25">
      <c r="A440" t="s">
        <v>33</v>
      </c>
    </row>
    <row r="441" spans="1:1" x14ac:dyDescent="0.25">
      <c r="A441" t="s">
        <v>218</v>
      </c>
    </row>
    <row r="442" spans="1:1" x14ac:dyDescent="0.25">
      <c r="A442" t="s">
        <v>89</v>
      </c>
    </row>
    <row r="443" spans="1:1" x14ac:dyDescent="0.25">
      <c r="A443" t="s">
        <v>228</v>
      </c>
    </row>
    <row r="444" spans="1:1" x14ac:dyDescent="0.25">
      <c r="A444" t="s">
        <v>44</v>
      </c>
    </row>
    <row r="446" spans="1:1" x14ac:dyDescent="0.25">
      <c r="A446" t="s">
        <v>94</v>
      </c>
    </row>
    <row r="447" spans="1:1" x14ac:dyDescent="0.25">
      <c r="A447" t="s">
        <v>33</v>
      </c>
    </row>
    <row r="448" spans="1:1" x14ac:dyDescent="0.25">
      <c r="A448" t="s">
        <v>218</v>
      </c>
    </row>
    <row r="449" spans="1:1" x14ac:dyDescent="0.25">
      <c r="A449" t="s">
        <v>149</v>
      </c>
    </row>
    <row r="450" spans="1:1" x14ac:dyDescent="0.25">
      <c r="A450" t="s">
        <v>153</v>
      </c>
    </row>
    <row r="451" spans="1:1" x14ac:dyDescent="0.25">
      <c r="A451" t="s">
        <v>44</v>
      </c>
    </row>
    <row r="453" spans="1:1" x14ac:dyDescent="0.25">
      <c r="A453" t="s">
        <v>96</v>
      </c>
    </row>
    <row r="454" spans="1:1" x14ac:dyDescent="0.25">
      <c r="A454" t="s">
        <v>33</v>
      </c>
    </row>
    <row r="455" spans="1:1" x14ac:dyDescent="0.25">
      <c r="A455" t="s">
        <v>218</v>
      </c>
    </row>
    <row r="456" spans="1:1" x14ac:dyDescent="0.25">
      <c r="A456" t="s">
        <v>97</v>
      </c>
    </row>
    <row r="457" spans="1:1" x14ac:dyDescent="0.25">
      <c r="A457" t="s">
        <v>90</v>
      </c>
    </row>
    <row r="458" spans="1:1" x14ac:dyDescent="0.25">
      <c r="A458" t="s">
        <v>44</v>
      </c>
    </row>
    <row r="460" spans="1:1" x14ac:dyDescent="0.25">
      <c r="A460" t="s">
        <v>99</v>
      </c>
    </row>
    <row r="461" spans="1:1" x14ac:dyDescent="0.25">
      <c r="A461" t="s">
        <v>33</v>
      </c>
    </row>
    <row r="462" spans="1:1" x14ac:dyDescent="0.25">
      <c r="A462" t="s">
        <v>218</v>
      </c>
    </row>
    <row r="463" spans="1:1" x14ac:dyDescent="0.25">
      <c r="A463" t="s">
        <v>92</v>
      </c>
    </row>
    <row r="464" spans="1:1" x14ac:dyDescent="0.25">
      <c r="A464" t="s">
        <v>229</v>
      </c>
    </row>
    <row r="465" spans="1:1" x14ac:dyDescent="0.25">
      <c r="A465" t="s">
        <v>44</v>
      </c>
    </row>
    <row r="467" spans="1:1" x14ac:dyDescent="0.25">
      <c r="A467" t="s">
        <v>160</v>
      </c>
    </row>
    <row r="468" spans="1:1" x14ac:dyDescent="0.25">
      <c r="A468" t="s">
        <v>33</v>
      </c>
    </row>
    <row r="469" spans="1:1" x14ac:dyDescent="0.25">
      <c r="A469" t="s">
        <v>218</v>
      </c>
    </row>
    <row r="470" spans="1:1" x14ac:dyDescent="0.25">
      <c r="A470" t="s">
        <v>161</v>
      </c>
    </row>
    <row r="471" spans="1:1" x14ac:dyDescent="0.25">
      <c r="A471" t="s">
        <v>230</v>
      </c>
    </row>
    <row r="472" spans="1:1" x14ac:dyDescent="0.25">
      <c r="A472" t="s">
        <v>44</v>
      </c>
    </row>
    <row r="474" spans="1:1" x14ac:dyDescent="0.25">
      <c r="A474" t="s">
        <v>166</v>
      </c>
    </row>
    <row r="475" spans="1:1" x14ac:dyDescent="0.25">
      <c r="A475" t="s">
        <v>33</v>
      </c>
    </row>
    <row r="476" spans="1:1" x14ac:dyDescent="0.25">
      <c r="A476" t="s">
        <v>218</v>
      </c>
    </row>
    <row r="477" spans="1:1" x14ac:dyDescent="0.25">
      <c r="A477" t="s">
        <v>100</v>
      </c>
    </row>
    <row r="478" spans="1:1" x14ac:dyDescent="0.25">
      <c r="A478" t="s">
        <v>169</v>
      </c>
    </row>
    <row r="479" spans="1:1" x14ac:dyDescent="0.25">
      <c r="A479" t="s">
        <v>44</v>
      </c>
    </row>
    <row r="481" spans="1:1" x14ac:dyDescent="0.25">
      <c r="A481" t="s">
        <v>170</v>
      </c>
    </row>
    <row r="482" spans="1:1" x14ac:dyDescent="0.25">
      <c r="A482" t="s">
        <v>33</v>
      </c>
    </row>
    <row r="483" spans="1:1" x14ac:dyDescent="0.25">
      <c r="A483" t="s">
        <v>218</v>
      </c>
    </row>
    <row r="484" spans="1:1" x14ac:dyDescent="0.25">
      <c r="A484" t="s">
        <v>171</v>
      </c>
    </row>
    <row r="485" spans="1:1" x14ac:dyDescent="0.25">
      <c r="A485" t="s">
        <v>231</v>
      </c>
    </row>
    <row r="486" spans="1:1" x14ac:dyDescent="0.25">
      <c r="A486" t="s">
        <v>44</v>
      </c>
    </row>
    <row r="488" spans="1:1" x14ac:dyDescent="0.25">
      <c r="A488" t="s">
        <v>175</v>
      </c>
    </row>
    <row r="489" spans="1:1" x14ac:dyDescent="0.25">
      <c r="A489" t="s">
        <v>33</v>
      </c>
    </row>
    <row r="490" spans="1:1" x14ac:dyDescent="0.25">
      <c r="A490" t="s">
        <v>218</v>
      </c>
    </row>
    <row r="491" spans="1:1" x14ac:dyDescent="0.25">
      <c r="A491" t="s">
        <v>176</v>
      </c>
    </row>
    <row r="492" spans="1:1" x14ac:dyDescent="0.25">
      <c r="A492" t="s">
        <v>232</v>
      </c>
    </row>
    <row r="493" spans="1:1" x14ac:dyDescent="0.25">
      <c r="A493" t="s">
        <v>44</v>
      </c>
    </row>
    <row r="495" spans="1:1" x14ac:dyDescent="0.25">
      <c r="A495" t="s">
        <v>180</v>
      </c>
    </row>
    <row r="496" spans="1:1" x14ac:dyDescent="0.25">
      <c r="A496" t="s">
        <v>33</v>
      </c>
    </row>
    <row r="497" spans="1:1" x14ac:dyDescent="0.25">
      <c r="A497" t="s">
        <v>218</v>
      </c>
    </row>
    <row r="498" spans="1:1" x14ac:dyDescent="0.25">
      <c r="A498" t="s">
        <v>181</v>
      </c>
    </row>
    <row r="499" spans="1:1" x14ac:dyDescent="0.25">
      <c r="A499" t="s">
        <v>233</v>
      </c>
    </row>
    <row r="500" spans="1:1" x14ac:dyDescent="0.25">
      <c r="A500" t="s">
        <v>44</v>
      </c>
    </row>
    <row r="502" spans="1:1" x14ac:dyDescent="0.25">
      <c r="A502" t="s">
        <v>184</v>
      </c>
    </row>
    <row r="503" spans="1:1" x14ac:dyDescent="0.25">
      <c r="A503" t="s">
        <v>33</v>
      </c>
    </row>
    <row r="504" spans="1:1" x14ac:dyDescent="0.25">
      <c r="A504" t="s">
        <v>218</v>
      </c>
    </row>
    <row r="505" spans="1:1" x14ac:dyDescent="0.25">
      <c r="A505" t="s">
        <v>185</v>
      </c>
    </row>
    <row r="506" spans="1:1" x14ac:dyDescent="0.25">
      <c r="A506" t="s">
        <v>234</v>
      </c>
    </row>
    <row r="507" spans="1:1" x14ac:dyDescent="0.25">
      <c r="A507" t="s">
        <v>44</v>
      </c>
    </row>
    <row r="509" spans="1:1" x14ac:dyDescent="0.25">
      <c r="A509" t="s">
        <v>190</v>
      </c>
    </row>
    <row r="510" spans="1:1" x14ac:dyDescent="0.25">
      <c r="A510" t="s">
        <v>33</v>
      </c>
    </row>
    <row r="511" spans="1:1" x14ac:dyDescent="0.25">
      <c r="A511" t="s">
        <v>218</v>
      </c>
    </row>
    <row r="512" spans="1:1" x14ac:dyDescent="0.25">
      <c r="A512" t="s">
        <v>191</v>
      </c>
    </row>
    <row r="513" spans="1:1" x14ac:dyDescent="0.25">
      <c r="A513" t="s">
        <v>194</v>
      </c>
    </row>
    <row r="514" spans="1:1" x14ac:dyDescent="0.25">
      <c r="A514" t="s">
        <v>44</v>
      </c>
    </row>
    <row r="516" spans="1:1" x14ac:dyDescent="0.25">
      <c r="A516" t="s">
        <v>195</v>
      </c>
    </row>
    <row r="517" spans="1:1" x14ac:dyDescent="0.25">
      <c r="A517" t="s">
        <v>33</v>
      </c>
    </row>
    <row r="518" spans="1:1" x14ac:dyDescent="0.25">
      <c r="A518" t="s">
        <v>218</v>
      </c>
    </row>
    <row r="519" spans="1:1" x14ac:dyDescent="0.25">
      <c r="A519" t="s">
        <v>196</v>
      </c>
    </row>
    <row r="520" spans="1:1" x14ac:dyDescent="0.25">
      <c r="A520" t="s">
        <v>198</v>
      </c>
    </row>
    <row r="521" spans="1:1" x14ac:dyDescent="0.25">
      <c r="A521" t="s">
        <v>44</v>
      </c>
    </row>
    <row r="523" spans="1:1" x14ac:dyDescent="0.25">
      <c r="A523" t="s">
        <v>199</v>
      </c>
    </row>
    <row r="524" spans="1:1" x14ac:dyDescent="0.25">
      <c r="A524" t="s">
        <v>33</v>
      </c>
    </row>
    <row r="525" spans="1:1" x14ac:dyDescent="0.25">
      <c r="A525" t="s">
        <v>218</v>
      </c>
    </row>
    <row r="526" spans="1:1" x14ac:dyDescent="0.25">
      <c r="A526" t="s">
        <v>200</v>
      </c>
    </row>
    <row r="527" spans="1:1" x14ac:dyDescent="0.25">
      <c r="A527" t="s">
        <v>203</v>
      </c>
    </row>
    <row r="528" spans="1:1" x14ac:dyDescent="0.25">
      <c r="A528" t="s">
        <v>44</v>
      </c>
    </row>
    <row r="530" spans="1:1" x14ac:dyDescent="0.25">
      <c r="A530" t="s">
        <v>204</v>
      </c>
    </row>
    <row r="531" spans="1:1" x14ac:dyDescent="0.25">
      <c r="A531" t="s">
        <v>33</v>
      </c>
    </row>
    <row r="532" spans="1:1" x14ac:dyDescent="0.25">
      <c r="A532" t="s">
        <v>218</v>
      </c>
    </row>
    <row r="533" spans="1:1" x14ac:dyDescent="0.25">
      <c r="A533" t="s">
        <v>205</v>
      </c>
    </row>
    <row r="534" spans="1:1" x14ac:dyDescent="0.25">
      <c r="A534" t="s">
        <v>203</v>
      </c>
    </row>
    <row r="535" spans="1:1" x14ac:dyDescent="0.25">
      <c r="A535" t="s">
        <v>44</v>
      </c>
    </row>
    <row r="537" spans="1:1" x14ac:dyDescent="0.25">
      <c r="A537" t="s">
        <v>44</v>
      </c>
    </row>
    <row r="539" spans="1:1" x14ac:dyDescent="0.25">
      <c r="A539" t="s">
        <v>235</v>
      </c>
    </row>
    <row r="540" spans="1:1" x14ac:dyDescent="0.25">
      <c r="A540" t="s">
        <v>33</v>
      </c>
    </row>
    <row r="541" spans="1:1" x14ac:dyDescent="0.25">
      <c r="A541" t="s">
        <v>88</v>
      </c>
    </row>
    <row r="542" spans="1:1" x14ac:dyDescent="0.25">
      <c r="A542" t="s">
        <v>33</v>
      </c>
    </row>
    <row r="543" spans="1:1" x14ac:dyDescent="0.25">
      <c r="A543" t="s">
        <v>218</v>
      </c>
    </row>
    <row r="544" spans="1:1" x14ac:dyDescent="0.25">
      <c r="A544" t="s">
        <v>89</v>
      </c>
    </row>
    <row r="545" spans="1:1" x14ac:dyDescent="0.25">
      <c r="A545" t="s">
        <v>236</v>
      </c>
    </row>
    <row r="546" spans="1:1" x14ac:dyDescent="0.25">
      <c r="A546" t="s">
        <v>44</v>
      </c>
    </row>
    <row r="548" spans="1:1" x14ac:dyDescent="0.25">
      <c r="A548" t="s">
        <v>91</v>
      </c>
    </row>
    <row r="549" spans="1:1" x14ac:dyDescent="0.25">
      <c r="A549" t="s">
        <v>33</v>
      </c>
    </row>
    <row r="550" spans="1:1" x14ac:dyDescent="0.25">
      <c r="A550" t="s">
        <v>218</v>
      </c>
    </row>
    <row r="551" spans="1:1" x14ac:dyDescent="0.25">
      <c r="A551" t="s">
        <v>92</v>
      </c>
    </row>
    <row r="552" spans="1:1" x14ac:dyDescent="0.25">
      <c r="A552" t="s">
        <v>203</v>
      </c>
    </row>
    <row r="553" spans="1:1" x14ac:dyDescent="0.25">
      <c r="A553" t="s">
        <v>44</v>
      </c>
    </row>
    <row r="555" spans="1:1" x14ac:dyDescent="0.25">
      <c r="A555" t="s">
        <v>94</v>
      </c>
    </row>
    <row r="556" spans="1:1" x14ac:dyDescent="0.25">
      <c r="A556" t="s">
        <v>33</v>
      </c>
    </row>
    <row r="557" spans="1:1" x14ac:dyDescent="0.25">
      <c r="A557" t="s">
        <v>218</v>
      </c>
    </row>
    <row r="558" spans="1:1" x14ac:dyDescent="0.25">
      <c r="A558" t="s">
        <v>161</v>
      </c>
    </row>
    <row r="559" spans="1:1" x14ac:dyDescent="0.25">
      <c r="A559" t="s">
        <v>237</v>
      </c>
    </row>
    <row r="560" spans="1:1" x14ac:dyDescent="0.25">
      <c r="A560" t="s">
        <v>44</v>
      </c>
    </row>
    <row r="562" spans="1:1" x14ac:dyDescent="0.25">
      <c r="A562" t="s">
        <v>96</v>
      </c>
    </row>
    <row r="563" spans="1:1" x14ac:dyDescent="0.25">
      <c r="A563" t="s">
        <v>33</v>
      </c>
    </row>
    <row r="564" spans="1:1" x14ac:dyDescent="0.25">
      <c r="A564" t="s">
        <v>218</v>
      </c>
    </row>
    <row r="565" spans="1:1" x14ac:dyDescent="0.25">
      <c r="A565" t="s">
        <v>171</v>
      </c>
    </row>
    <row r="566" spans="1:1" x14ac:dyDescent="0.25">
      <c r="A566" t="s">
        <v>238</v>
      </c>
    </row>
    <row r="567" spans="1:1" x14ac:dyDescent="0.25">
      <c r="A567" t="s">
        <v>44</v>
      </c>
    </row>
    <row r="569" spans="1:1" x14ac:dyDescent="0.25">
      <c r="A569" t="s">
        <v>99</v>
      </c>
    </row>
    <row r="570" spans="1:1" x14ac:dyDescent="0.25">
      <c r="A570" t="s">
        <v>33</v>
      </c>
    </row>
    <row r="571" spans="1:1" x14ac:dyDescent="0.25">
      <c r="A571" t="s">
        <v>218</v>
      </c>
    </row>
    <row r="572" spans="1:1" x14ac:dyDescent="0.25">
      <c r="A572" t="s">
        <v>176</v>
      </c>
    </row>
    <row r="573" spans="1:1" x14ac:dyDescent="0.25">
      <c r="A573" t="s">
        <v>239</v>
      </c>
    </row>
    <row r="574" spans="1:1" x14ac:dyDescent="0.25">
      <c r="A574" t="s">
        <v>44</v>
      </c>
    </row>
    <row r="576" spans="1:1" x14ac:dyDescent="0.25">
      <c r="A576" t="s">
        <v>160</v>
      </c>
    </row>
    <row r="577" spans="1:1" x14ac:dyDescent="0.25">
      <c r="A577" t="s">
        <v>33</v>
      </c>
    </row>
    <row r="578" spans="1:1" x14ac:dyDescent="0.25">
      <c r="A578" t="s">
        <v>218</v>
      </c>
    </row>
    <row r="579" spans="1:1" x14ac:dyDescent="0.25">
      <c r="A579" t="s">
        <v>181</v>
      </c>
    </row>
    <row r="580" spans="1:1" x14ac:dyDescent="0.25">
      <c r="A580" t="s">
        <v>240</v>
      </c>
    </row>
    <row r="581" spans="1:1" x14ac:dyDescent="0.25">
      <c r="A581" t="s">
        <v>44</v>
      </c>
    </row>
    <row r="583" spans="1:1" x14ac:dyDescent="0.25">
      <c r="A583" t="s">
        <v>166</v>
      </c>
    </row>
    <row r="584" spans="1:1" x14ac:dyDescent="0.25">
      <c r="A584" t="s">
        <v>33</v>
      </c>
    </row>
    <row r="585" spans="1:1" x14ac:dyDescent="0.25">
      <c r="A585" t="s">
        <v>218</v>
      </c>
    </row>
    <row r="586" spans="1:1" x14ac:dyDescent="0.25">
      <c r="A586" t="s">
        <v>185</v>
      </c>
    </row>
    <row r="587" spans="1:1" x14ac:dyDescent="0.25">
      <c r="A587" t="s">
        <v>203</v>
      </c>
    </row>
    <row r="588" spans="1:1" x14ac:dyDescent="0.25">
      <c r="A588" t="s">
        <v>44</v>
      </c>
    </row>
    <row r="590" spans="1:1" x14ac:dyDescent="0.25">
      <c r="A590" t="s">
        <v>44</v>
      </c>
    </row>
    <row r="592" spans="1:1" x14ac:dyDescent="0.25">
      <c r="A592" t="s">
        <v>44</v>
      </c>
    </row>
    <row r="594" spans="1:1" x14ac:dyDescent="0.25">
      <c r="A594" t="s">
        <v>91</v>
      </c>
    </row>
    <row r="595" spans="1:1" x14ac:dyDescent="0.25">
      <c r="A595" t="s">
        <v>33</v>
      </c>
    </row>
    <row r="596" spans="1:1" x14ac:dyDescent="0.25">
      <c r="A596" t="s">
        <v>241</v>
      </c>
    </row>
    <row r="597" spans="1:1" x14ac:dyDescent="0.25">
      <c r="A597" t="s">
        <v>210</v>
      </c>
    </row>
    <row r="598" spans="1:1" x14ac:dyDescent="0.25">
      <c r="A598" t="s">
        <v>33</v>
      </c>
    </row>
    <row r="599" spans="1:1" x14ac:dyDescent="0.25">
      <c r="A599" t="s">
        <v>242</v>
      </c>
    </row>
    <row r="600" spans="1:1" x14ac:dyDescent="0.25">
      <c r="A600" t="s">
        <v>243</v>
      </c>
    </row>
    <row r="601" spans="1:1" x14ac:dyDescent="0.25">
      <c r="A601" t="s">
        <v>244</v>
      </c>
    </row>
    <row r="602" spans="1:1" x14ac:dyDescent="0.25">
      <c r="A602" t="s">
        <v>245</v>
      </c>
    </row>
    <row r="603" spans="1:1" x14ac:dyDescent="0.25">
      <c r="A603" t="s">
        <v>246</v>
      </c>
    </row>
    <row r="604" spans="1:1" x14ac:dyDescent="0.25">
      <c r="A604" t="s">
        <v>247</v>
      </c>
    </row>
    <row r="605" spans="1:1" x14ac:dyDescent="0.25">
      <c r="A605" t="s">
        <v>44</v>
      </c>
    </row>
    <row r="607" spans="1:1" x14ac:dyDescent="0.25">
      <c r="A607" t="s">
        <v>217</v>
      </c>
    </row>
    <row r="608" spans="1:1" x14ac:dyDescent="0.25">
      <c r="A608" t="s">
        <v>33</v>
      </c>
    </row>
    <row r="609" spans="1:1" x14ac:dyDescent="0.25">
      <c r="A609" t="s">
        <v>88</v>
      </c>
    </row>
    <row r="610" spans="1:1" x14ac:dyDescent="0.25">
      <c r="A610" t="s">
        <v>33</v>
      </c>
    </row>
    <row r="611" spans="1:1" x14ac:dyDescent="0.25">
      <c r="A611" t="s">
        <v>218</v>
      </c>
    </row>
    <row r="612" spans="1:1" x14ac:dyDescent="0.25">
      <c r="A612" t="s">
        <v>113</v>
      </c>
    </row>
    <row r="613" spans="1:1" x14ac:dyDescent="0.25">
      <c r="A613" t="s">
        <v>117</v>
      </c>
    </row>
    <row r="614" spans="1:1" x14ac:dyDescent="0.25">
      <c r="A614" t="s">
        <v>44</v>
      </c>
    </row>
    <row r="616" spans="1:1" x14ac:dyDescent="0.25">
      <c r="A616" t="s">
        <v>91</v>
      </c>
    </row>
    <row r="617" spans="1:1" x14ac:dyDescent="0.25">
      <c r="A617" t="s">
        <v>33</v>
      </c>
    </row>
    <row r="618" spans="1:1" x14ac:dyDescent="0.25">
      <c r="A618" t="s">
        <v>219</v>
      </c>
    </row>
    <row r="619" spans="1:1" x14ac:dyDescent="0.25">
      <c r="A619" t="s">
        <v>126</v>
      </c>
    </row>
    <row r="620" spans="1:1" x14ac:dyDescent="0.25">
      <c r="A620" t="s">
        <v>248</v>
      </c>
    </row>
    <row r="621" spans="1:1" x14ac:dyDescent="0.25">
      <c r="A621" t="s">
        <v>44</v>
      </c>
    </row>
    <row r="623" spans="1:1" x14ac:dyDescent="0.25">
      <c r="A623" t="s">
        <v>94</v>
      </c>
    </row>
    <row r="624" spans="1:1" x14ac:dyDescent="0.25">
      <c r="A624" t="s">
        <v>33</v>
      </c>
    </row>
    <row r="625" spans="1:1" x14ac:dyDescent="0.25">
      <c r="A625" t="s">
        <v>219</v>
      </c>
    </row>
    <row r="626" spans="1:1" x14ac:dyDescent="0.25">
      <c r="A626" t="s">
        <v>89</v>
      </c>
    </row>
    <row r="627" spans="1:1" x14ac:dyDescent="0.25">
      <c r="A627" t="s">
        <v>249</v>
      </c>
    </row>
    <row r="628" spans="1:1" x14ac:dyDescent="0.25">
      <c r="A628" t="s">
        <v>44</v>
      </c>
    </row>
    <row r="630" spans="1:1" x14ac:dyDescent="0.25">
      <c r="A630" t="s">
        <v>96</v>
      </c>
    </row>
    <row r="631" spans="1:1" x14ac:dyDescent="0.25">
      <c r="A631" t="s">
        <v>33</v>
      </c>
    </row>
    <row r="632" spans="1:1" x14ac:dyDescent="0.25">
      <c r="A632" t="s">
        <v>222</v>
      </c>
    </row>
    <row r="633" spans="1:1" x14ac:dyDescent="0.25">
      <c r="A633" t="s">
        <v>89</v>
      </c>
    </row>
    <row r="634" spans="1:1" x14ac:dyDescent="0.25">
      <c r="A634" t="s">
        <v>250</v>
      </c>
    </row>
    <row r="635" spans="1:1" x14ac:dyDescent="0.25">
      <c r="A635" t="s">
        <v>44</v>
      </c>
    </row>
    <row r="637" spans="1:1" x14ac:dyDescent="0.25">
      <c r="A637" t="s">
        <v>44</v>
      </c>
    </row>
    <row r="639" spans="1:1" x14ac:dyDescent="0.25">
      <c r="A639" t="s">
        <v>224</v>
      </c>
    </row>
    <row r="640" spans="1:1" x14ac:dyDescent="0.25">
      <c r="A640" t="s">
        <v>33</v>
      </c>
    </row>
    <row r="641" spans="1:1" x14ac:dyDescent="0.25">
      <c r="A641" t="s">
        <v>88</v>
      </c>
    </row>
    <row r="642" spans="1:1" x14ac:dyDescent="0.25">
      <c r="A642" t="s">
        <v>33</v>
      </c>
    </row>
    <row r="643" spans="1:1" x14ac:dyDescent="0.25">
      <c r="A643" t="s">
        <v>219</v>
      </c>
    </row>
    <row r="644" spans="1:1" x14ac:dyDescent="0.25">
      <c r="A644" t="s">
        <v>126</v>
      </c>
    </row>
    <row r="645" spans="1:1" x14ac:dyDescent="0.25">
      <c r="A645" t="s">
        <v>101</v>
      </c>
    </row>
    <row r="646" spans="1:1" x14ac:dyDescent="0.25">
      <c r="A646" t="s">
        <v>44</v>
      </c>
    </row>
    <row r="648" spans="1:1" x14ac:dyDescent="0.25">
      <c r="A648" t="s">
        <v>91</v>
      </c>
    </row>
    <row r="649" spans="1:1" x14ac:dyDescent="0.25">
      <c r="A649" t="s">
        <v>33</v>
      </c>
    </row>
    <row r="650" spans="1:1" x14ac:dyDescent="0.25">
      <c r="A650" t="s">
        <v>219</v>
      </c>
    </row>
    <row r="651" spans="1:1" x14ac:dyDescent="0.25">
      <c r="A651" t="s">
        <v>89</v>
      </c>
    </row>
    <row r="652" spans="1:1" x14ac:dyDescent="0.25">
      <c r="A652" t="s">
        <v>251</v>
      </c>
    </row>
    <row r="653" spans="1:1" x14ac:dyDescent="0.25">
      <c r="A653" t="s">
        <v>44</v>
      </c>
    </row>
    <row r="655" spans="1:1" x14ac:dyDescent="0.25">
      <c r="A655" t="s">
        <v>94</v>
      </c>
    </row>
    <row r="656" spans="1:1" x14ac:dyDescent="0.25">
      <c r="A656" t="s">
        <v>33</v>
      </c>
    </row>
    <row r="657" spans="1:1" x14ac:dyDescent="0.25">
      <c r="A657" t="s">
        <v>222</v>
      </c>
    </row>
    <row r="658" spans="1:1" x14ac:dyDescent="0.25">
      <c r="A658" t="s">
        <v>89</v>
      </c>
    </row>
    <row r="659" spans="1:1" x14ac:dyDescent="0.25">
      <c r="A659" t="s">
        <v>159</v>
      </c>
    </row>
    <row r="660" spans="1:1" x14ac:dyDescent="0.25">
      <c r="A660" t="s">
        <v>44</v>
      </c>
    </row>
    <row r="662" spans="1:1" x14ac:dyDescent="0.25">
      <c r="A662" t="s">
        <v>44</v>
      </c>
    </row>
    <row r="664" spans="1:1" x14ac:dyDescent="0.25">
      <c r="A664" t="s">
        <v>227</v>
      </c>
    </row>
    <row r="665" spans="1:1" x14ac:dyDescent="0.25">
      <c r="A665" t="s">
        <v>33</v>
      </c>
    </row>
    <row r="666" spans="1:1" x14ac:dyDescent="0.25">
      <c r="A666" t="s">
        <v>88</v>
      </c>
    </row>
    <row r="667" spans="1:1" x14ac:dyDescent="0.25">
      <c r="A667" t="s">
        <v>33</v>
      </c>
    </row>
    <row r="668" spans="1:1" x14ac:dyDescent="0.25">
      <c r="A668" t="s">
        <v>218</v>
      </c>
    </row>
    <row r="669" spans="1:1" x14ac:dyDescent="0.25">
      <c r="A669" t="s">
        <v>95</v>
      </c>
    </row>
    <row r="670" spans="1:1" x14ac:dyDescent="0.25">
      <c r="A670" t="s">
        <v>252</v>
      </c>
    </row>
    <row r="671" spans="1:1" x14ac:dyDescent="0.25">
      <c r="A671" t="s">
        <v>44</v>
      </c>
    </row>
    <row r="673" spans="1:1" x14ac:dyDescent="0.25">
      <c r="A673" t="s">
        <v>91</v>
      </c>
    </row>
    <row r="674" spans="1:1" x14ac:dyDescent="0.25">
      <c r="A674" t="s">
        <v>33</v>
      </c>
    </row>
    <row r="675" spans="1:1" x14ac:dyDescent="0.25">
      <c r="A675" t="s">
        <v>218</v>
      </c>
    </row>
    <row r="676" spans="1:1" x14ac:dyDescent="0.25">
      <c r="A676" t="s">
        <v>89</v>
      </c>
    </row>
    <row r="677" spans="1:1" x14ac:dyDescent="0.25">
      <c r="A677" t="s">
        <v>253</v>
      </c>
    </row>
    <row r="678" spans="1:1" x14ac:dyDescent="0.25">
      <c r="A678" t="s">
        <v>44</v>
      </c>
    </row>
    <row r="680" spans="1:1" x14ac:dyDescent="0.25">
      <c r="A680" t="s">
        <v>94</v>
      </c>
    </row>
    <row r="681" spans="1:1" x14ac:dyDescent="0.25">
      <c r="A681" t="s">
        <v>33</v>
      </c>
    </row>
    <row r="682" spans="1:1" x14ac:dyDescent="0.25">
      <c r="A682" t="s">
        <v>218</v>
      </c>
    </row>
    <row r="683" spans="1:1" x14ac:dyDescent="0.25">
      <c r="A683" t="s">
        <v>149</v>
      </c>
    </row>
    <row r="684" spans="1:1" x14ac:dyDescent="0.25">
      <c r="A684" t="s">
        <v>153</v>
      </c>
    </row>
    <row r="685" spans="1:1" x14ac:dyDescent="0.25">
      <c r="A685" t="s">
        <v>44</v>
      </c>
    </row>
    <row r="687" spans="1:1" x14ac:dyDescent="0.25">
      <c r="A687" t="s">
        <v>96</v>
      </c>
    </row>
    <row r="688" spans="1:1" x14ac:dyDescent="0.25">
      <c r="A688" t="s">
        <v>33</v>
      </c>
    </row>
    <row r="689" spans="1:1" x14ac:dyDescent="0.25">
      <c r="A689" t="s">
        <v>218</v>
      </c>
    </row>
    <row r="690" spans="1:1" x14ac:dyDescent="0.25">
      <c r="A690" t="s">
        <v>97</v>
      </c>
    </row>
    <row r="691" spans="1:1" x14ac:dyDescent="0.25">
      <c r="A691" t="s">
        <v>90</v>
      </c>
    </row>
    <row r="692" spans="1:1" x14ac:dyDescent="0.25">
      <c r="A692" t="s">
        <v>44</v>
      </c>
    </row>
    <row r="694" spans="1:1" x14ac:dyDescent="0.25">
      <c r="A694" t="s">
        <v>99</v>
      </c>
    </row>
    <row r="695" spans="1:1" x14ac:dyDescent="0.25">
      <c r="A695" t="s">
        <v>33</v>
      </c>
    </row>
    <row r="696" spans="1:1" x14ac:dyDescent="0.25">
      <c r="A696" t="s">
        <v>218</v>
      </c>
    </row>
    <row r="697" spans="1:1" x14ac:dyDescent="0.25">
      <c r="A697" t="s">
        <v>92</v>
      </c>
    </row>
    <row r="698" spans="1:1" x14ac:dyDescent="0.25">
      <c r="A698" t="s">
        <v>254</v>
      </c>
    </row>
    <row r="699" spans="1:1" x14ac:dyDescent="0.25">
      <c r="A699" t="s">
        <v>44</v>
      </c>
    </row>
    <row r="701" spans="1:1" x14ac:dyDescent="0.25">
      <c r="A701" t="s">
        <v>160</v>
      </c>
    </row>
    <row r="702" spans="1:1" x14ac:dyDescent="0.25">
      <c r="A702" t="s">
        <v>33</v>
      </c>
    </row>
    <row r="703" spans="1:1" x14ac:dyDescent="0.25">
      <c r="A703" t="s">
        <v>218</v>
      </c>
    </row>
    <row r="704" spans="1:1" x14ac:dyDescent="0.25">
      <c r="A704" t="s">
        <v>161</v>
      </c>
    </row>
    <row r="705" spans="1:1" x14ac:dyDescent="0.25">
      <c r="A705" t="s">
        <v>255</v>
      </c>
    </row>
    <row r="706" spans="1:1" x14ac:dyDescent="0.25">
      <c r="A706" t="s">
        <v>44</v>
      </c>
    </row>
    <row r="708" spans="1:1" x14ac:dyDescent="0.25">
      <c r="A708" t="s">
        <v>166</v>
      </c>
    </row>
    <row r="709" spans="1:1" x14ac:dyDescent="0.25">
      <c r="A709" t="s">
        <v>33</v>
      </c>
    </row>
    <row r="710" spans="1:1" x14ac:dyDescent="0.25">
      <c r="A710" t="s">
        <v>218</v>
      </c>
    </row>
    <row r="711" spans="1:1" x14ac:dyDescent="0.25">
      <c r="A711" t="s">
        <v>100</v>
      </c>
    </row>
    <row r="712" spans="1:1" x14ac:dyDescent="0.25">
      <c r="A712" t="s">
        <v>169</v>
      </c>
    </row>
    <row r="713" spans="1:1" x14ac:dyDescent="0.25">
      <c r="A713" t="s">
        <v>44</v>
      </c>
    </row>
    <row r="715" spans="1:1" x14ac:dyDescent="0.25">
      <c r="A715" t="s">
        <v>170</v>
      </c>
    </row>
    <row r="716" spans="1:1" x14ac:dyDescent="0.25">
      <c r="A716" t="s">
        <v>33</v>
      </c>
    </row>
    <row r="717" spans="1:1" x14ac:dyDescent="0.25">
      <c r="A717" t="s">
        <v>218</v>
      </c>
    </row>
    <row r="718" spans="1:1" x14ac:dyDescent="0.25">
      <c r="A718" t="s">
        <v>171</v>
      </c>
    </row>
    <row r="719" spans="1:1" x14ac:dyDescent="0.25">
      <c r="A719" t="s">
        <v>255</v>
      </c>
    </row>
    <row r="720" spans="1:1" x14ac:dyDescent="0.25">
      <c r="A720" t="s">
        <v>44</v>
      </c>
    </row>
    <row r="722" spans="1:1" x14ac:dyDescent="0.25">
      <c r="A722" t="s">
        <v>175</v>
      </c>
    </row>
    <row r="723" spans="1:1" x14ac:dyDescent="0.25">
      <c r="A723" t="s">
        <v>33</v>
      </c>
    </row>
    <row r="724" spans="1:1" x14ac:dyDescent="0.25">
      <c r="A724" t="s">
        <v>218</v>
      </c>
    </row>
    <row r="725" spans="1:1" x14ac:dyDescent="0.25">
      <c r="A725" t="s">
        <v>176</v>
      </c>
    </row>
    <row r="726" spans="1:1" x14ac:dyDescent="0.25">
      <c r="A726" t="s">
        <v>256</v>
      </c>
    </row>
    <row r="727" spans="1:1" x14ac:dyDescent="0.25">
      <c r="A727" t="s">
        <v>44</v>
      </c>
    </row>
    <row r="729" spans="1:1" x14ac:dyDescent="0.25">
      <c r="A729" t="s">
        <v>180</v>
      </c>
    </row>
    <row r="730" spans="1:1" x14ac:dyDescent="0.25">
      <c r="A730" t="s">
        <v>33</v>
      </c>
    </row>
    <row r="731" spans="1:1" x14ac:dyDescent="0.25">
      <c r="A731" t="s">
        <v>218</v>
      </c>
    </row>
    <row r="732" spans="1:1" x14ac:dyDescent="0.25">
      <c r="A732" t="s">
        <v>181</v>
      </c>
    </row>
    <row r="733" spans="1:1" x14ac:dyDescent="0.25">
      <c r="A733" t="s">
        <v>174</v>
      </c>
    </row>
    <row r="734" spans="1:1" x14ac:dyDescent="0.25">
      <c r="A734" t="s">
        <v>44</v>
      </c>
    </row>
    <row r="736" spans="1:1" x14ac:dyDescent="0.25">
      <c r="A736" t="s">
        <v>184</v>
      </c>
    </row>
    <row r="737" spans="1:1" x14ac:dyDescent="0.25">
      <c r="A737" t="s">
        <v>33</v>
      </c>
    </row>
    <row r="738" spans="1:1" x14ac:dyDescent="0.25">
      <c r="A738" t="s">
        <v>218</v>
      </c>
    </row>
    <row r="739" spans="1:1" x14ac:dyDescent="0.25">
      <c r="A739" t="s">
        <v>185</v>
      </c>
    </row>
    <row r="740" spans="1:1" x14ac:dyDescent="0.25">
      <c r="A740" t="s">
        <v>257</v>
      </c>
    </row>
    <row r="741" spans="1:1" x14ac:dyDescent="0.25">
      <c r="A741" t="s">
        <v>44</v>
      </c>
    </row>
    <row r="743" spans="1:1" x14ac:dyDescent="0.25">
      <c r="A743" t="s">
        <v>190</v>
      </c>
    </row>
    <row r="744" spans="1:1" x14ac:dyDescent="0.25">
      <c r="A744" t="s">
        <v>33</v>
      </c>
    </row>
    <row r="745" spans="1:1" x14ac:dyDescent="0.25">
      <c r="A745" t="s">
        <v>218</v>
      </c>
    </row>
    <row r="746" spans="1:1" x14ac:dyDescent="0.25">
      <c r="A746" t="s">
        <v>191</v>
      </c>
    </row>
    <row r="747" spans="1:1" x14ac:dyDescent="0.25">
      <c r="A747" t="s">
        <v>194</v>
      </c>
    </row>
    <row r="748" spans="1:1" x14ac:dyDescent="0.25">
      <c r="A748" t="s">
        <v>44</v>
      </c>
    </row>
    <row r="750" spans="1:1" x14ac:dyDescent="0.25">
      <c r="A750" t="s">
        <v>195</v>
      </c>
    </row>
    <row r="751" spans="1:1" x14ac:dyDescent="0.25">
      <c r="A751" t="s">
        <v>33</v>
      </c>
    </row>
    <row r="752" spans="1:1" x14ac:dyDescent="0.25">
      <c r="A752" t="s">
        <v>218</v>
      </c>
    </row>
    <row r="753" spans="1:1" x14ac:dyDescent="0.25">
      <c r="A753" t="s">
        <v>196</v>
      </c>
    </row>
    <row r="754" spans="1:1" x14ac:dyDescent="0.25">
      <c r="A754" t="s">
        <v>198</v>
      </c>
    </row>
    <row r="755" spans="1:1" x14ac:dyDescent="0.25">
      <c r="A755" t="s">
        <v>44</v>
      </c>
    </row>
    <row r="757" spans="1:1" x14ac:dyDescent="0.25">
      <c r="A757" t="s">
        <v>199</v>
      </c>
    </row>
    <row r="758" spans="1:1" x14ac:dyDescent="0.25">
      <c r="A758" t="s">
        <v>33</v>
      </c>
    </row>
    <row r="759" spans="1:1" x14ac:dyDescent="0.25">
      <c r="A759" t="s">
        <v>218</v>
      </c>
    </row>
    <row r="760" spans="1:1" x14ac:dyDescent="0.25">
      <c r="A760" t="s">
        <v>200</v>
      </c>
    </row>
    <row r="761" spans="1:1" x14ac:dyDescent="0.25">
      <c r="A761" t="s">
        <v>203</v>
      </c>
    </row>
    <row r="762" spans="1:1" x14ac:dyDescent="0.25">
      <c r="A762" t="s">
        <v>44</v>
      </c>
    </row>
    <row r="764" spans="1:1" x14ac:dyDescent="0.25">
      <c r="A764" t="s">
        <v>204</v>
      </c>
    </row>
    <row r="765" spans="1:1" x14ac:dyDescent="0.25">
      <c r="A765" t="s">
        <v>33</v>
      </c>
    </row>
    <row r="766" spans="1:1" x14ac:dyDescent="0.25">
      <c r="A766" t="s">
        <v>218</v>
      </c>
    </row>
    <row r="767" spans="1:1" x14ac:dyDescent="0.25">
      <c r="A767" t="s">
        <v>205</v>
      </c>
    </row>
    <row r="768" spans="1:1" x14ac:dyDescent="0.25">
      <c r="A768" t="s">
        <v>203</v>
      </c>
    </row>
    <row r="769" spans="1:1" x14ac:dyDescent="0.25">
      <c r="A769" t="s">
        <v>44</v>
      </c>
    </row>
    <row r="771" spans="1:1" x14ac:dyDescent="0.25">
      <c r="A771" t="s">
        <v>44</v>
      </c>
    </row>
    <row r="773" spans="1:1" x14ac:dyDescent="0.25">
      <c r="A773" t="s">
        <v>235</v>
      </c>
    </row>
    <row r="774" spans="1:1" x14ac:dyDescent="0.25">
      <c r="A774" t="s">
        <v>33</v>
      </c>
    </row>
    <row r="775" spans="1:1" x14ac:dyDescent="0.25">
      <c r="A775" t="s">
        <v>88</v>
      </c>
    </row>
    <row r="776" spans="1:1" x14ac:dyDescent="0.25">
      <c r="A776" t="s">
        <v>33</v>
      </c>
    </row>
    <row r="777" spans="1:1" x14ac:dyDescent="0.25">
      <c r="A777" t="s">
        <v>218</v>
      </c>
    </row>
    <row r="778" spans="1:1" x14ac:dyDescent="0.25">
      <c r="A778" t="s">
        <v>95</v>
      </c>
    </row>
    <row r="779" spans="1:1" x14ac:dyDescent="0.25">
      <c r="A779" t="s">
        <v>238</v>
      </c>
    </row>
    <row r="780" spans="1:1" x14ac:dyDescent="0.25">
      <c r="A780" t="s">
        <v>44</v>
      </c>
    </row>
    <row r="782" spans="1:1" x14ac:dyDescent="0.25">
      <c r="A782" t="s">
        <v>91</v>
      </c>
    </row>
    <row r="783" spans="1:1" x14ac:dyDescent="0.25">
      <c r="A783" t="s">
        <v>33</v>
      </c>
    </row>
    <row r="784" spans="1:1" x14ac:dyDescent="0.25">
      <c r="A784" t="s">
        <v>218</v>
      </c>
    </row>
    <row r="785" spans="1:1" x14ac:dyDescent="0.25">
      <c r="A785" t="s">
        <v>89</v>
      </c>
    </row>
    <row r="786" spans="1:1" x14ac:dyDescent="0.25">
      <c r="A786" t="s">
        <v>258</v>
      </c>
    </row>
    <row r="787" spans="1:1" x14ac:dyDescent="0.25">
      <c r="A787" t="s">
        <v>44</v>
      </c>
    </row>
    <row r="789" spans="1:1" x14ac:dyDescent="0.25">
      <c r="A789" t="s">
        <v>94</v>
      </c>
    </row>
    <row r="790" spans="1:1" x14ac:dyDescent="0.25">
      <c r="A790" t="s">
        <v>33</v>
      </c>
    </row>
    <row r="791" spans="1:1" x14ac:dyDescent="0.25">
      <c r="A791" t="s">
        <v>218</v>
      </c>
    </row>
    <row r="792" spans="1:1" x14ac:dyDescent="0.25">
      <c r="A792" t="s">
        <v>92</v>
      </c>
    </row>
    <row r="793" spans="1:1" x14ac:dyDescent="0.25">
      <c r="A793" t="s">
        <v>255</v>
      </c>
    </row>
    <row r="794" spans="1:1" x14ac:dyDescent="0.25">
      <c r="A794" t="s">
        <v>44</v>
      </c>
    </row>
    <row r="796" spans="1:1" x14ac:dyDescent="0.25">
      <c r="A796" t="s">
        <v>96</v>
      </c>
    </row>
    <row r="797" spans="1:1" x14ac:dyDescent="0.25">
      <c r="A797" t="s">
        <v>33</v>
      </c>
    </row>
    <row r="798" spans="1:1" x14ac:dyDescent="0.25">
      <c r="A798" t="s">
        <v>218</v>
      </c>
    </row>
    <row r="799" spans="1:1" x14ac:dyDescent="0.25">
      <c r="A799" t="s">
        <v>161</v>
      </c>
    </row>
    <row r="800" spans="1:1" x14ac:dyDescent="0.25">
      <c r="A800" t="s">
        <v>98</v>
      </c>
    </row>
    <row r="801" spans="1:1" x14ac:dyDescent="0.25">
      <c r="A801" t="s">
        <v>44</v>
      </c>
    </row>
    <row r="803" spans="1:1" x14ac:dyDescent="0.25">
      <c r="A803" t="s">
        <v>99</v>
      </c>
    </row>
    <row r="804" spans="1:1" x14ac:dyDescent="0.25">
      <c r="A804" t="s">
        <v>33</v>
      </c>
    </row>
    <row r="805" spans="1:1" x14ac:dyDescent="0.25">
      <c r="A805" t="s">
        <v>218</v>
      </c>
    </row>
    <row r="806" spans="1:1" x14ac:dyDescent="0.25">
      <c r="A806" t="s">
        <v>171</v>
      </c>
    </row>
    <row r="807" spans="1:1" x14ac:dyDescent="0.25">
      <c r="A807" t="s">
        <v>259</v>
      </c>
    </row>
    <row r="808" spans="1:1" x14ac:dyDescent="0.25">
      <c r="A808" t="s">
        <v>44</v>
      </c>
    </row>
    <row r="810" spans="1:1" x14ac:dyDescent="0.25">
      <c r="A810" t="s">
        <v>160</v>
      </c>
    </row>
    <row r="811" spans="1:1" x14ac:dyDescent="0.25">
      <c r="A811" t="s">
        <v>33</v>
      </c>
    </row>
    <row r="812" spans="1:1" x14ac:dyDescent="0.25">
      <c r="A812" t="s">
        <v>218</v>
      </c>
    </row>
    <row r="813" spans="1:1" x14ac:dyDescent="0.25">
      <c r="A813" t="s">
        <v>176</v>
      </c>
    </row>
    <row r="814" spans="1:1" x14ac:dyDescent="0.25">
      <c r="A814" t="s">
        <v>260</v>
      </c>
    </row>
    <row r="815" spans="1:1" x14ac:dyDescent="0.25">
      <c r="A815" t="s">
        <v>44</v>
      </c>
    </row>
    <row r="817" spans="1:1" x14ac:dyDescent="0.25">
      <c r="A817" t="s">
        <v>166</v>
      </c>
    </row>
    <row r="818" spans="1:1" x14ac:dyDescent="0.25">
      <c r="A818" t="s">
        <v>33</v>
      </c>
    </row>
    <row r="819" spans="1:1" x14ac:dyDescent="0.25">
      <c r="A819" t="s">
        <v>218</v>
      </c>
    </row>
    <row r="820" spans="1:1" x14ac:dyDescent="0.25">
      <c r="A820" t="s">
        <v>181</v>
      </c>
    </row>
    <row r="821" spans="1:1" x14ac:dyDescent="0.25">
      <c r="A821" t="s">
        <v>261</v>
      </c>
    </row>
    <row r="822" spans="1:1" x14ac:dyDescent="0.25">
      <c r="A822" t="s">
        <v>44</v>
      </c>
    </row>
    <row r="824" spans="1:1" x14ac:dyDescent="0.25">
      <c r="A824" t="s">
        <v>170</v>
      </c>
    </row>
    <row r="825" spans="1:1" x14ac:dyDescent="0.25">
      <c r="A825" t="s">
        <v>33</v>
      </c>
    </row>
    <row r="826" spans="1:1" x14ac:dyDescent="0.25">
      <c r="A826" t="s">
        <v>218</v>
      </c>
    </row>
    <row r="827" spans="1:1" x14ac:dyDescent="0.25">
      <c r="A827" t="s">
        <v>185</v>
      </c>
    </row>
    <row r="828" spans="1:1" x14ac:dyDescent="0.25">
      <c r="A828" t="s">
        <v>153</v>
      </c>
    </row>
    <row r="829" spans="1:1" x14ac:dyDescent="0.25">
      <c r="A829" t="s">
        <v>44</v>
      </c>
    </row>
    <row r="831" spans="1:1" x14ac:dyDescent="0.25">
      <c r="A831" t="s">
        <v>44</v>
      </c>
    </row>
    <row r="833" spans="1:1" x14ac:dyDescent="0.25">
      <c r="A833" t="s">
        <v>44</v>
      </c>
    </row>
    <row r="835" spans="1:1" x14ac:dyDescent="0.25">
      <c r="A835" t="s">
        <v>94</v>
      </c>
    </row>
    <row r="836" spans="1:1" x14ac:dyDescent="0.25">
      <c r="A836" t="s">
        <v>33</v>
      </c>
    </row>
    <row r="837" spans="1:1" x14ac:dyDescent="0.25">
      <c r="A837" t="s">
        <v>262</v>
      </c>
    </row>
    <row r="838" spans="1:1" x14ac:dyDescent="0.25">
      <c r="A838" t="s">
        <v>210</v>
      </c>
    </row>
    <row r="839" spans="1:1" x14ac:dyDescent="0.25">
      <c r="A839" t="s">
        <v>33</v>
      </c>
    </row>
    <row r="840" spans="1:1" x14ac:dyDescent="0.25">
      <c r="A840" t="s">
        <v>263</v>
      </c>
    </row>
    <row r="841" spans="1:1" x14ac:dyDescent="0.25">
      <c r="A841" t="s">
        <v>264</v>
      </c>
    </row>
    <row r="842" spans="1:1" x14ac:dyDescent="0.25">
      <c r="A842" t="s">
        <v>265</v>
      </c>
    </row>
    <row r="843" spans="1:1" x14ac:dyDescent="0.25">
      <c r="A843" t="s">
        <v>266</v>
      </c>
    </row>
    <row r="844" spans="1:1" x14ac:dyDescent="0.25">
      <c r="A844" t="s">
        <v>267</v>
      </c>
    </row>
    <row r="845" spans="1:1" x14ac:dyDescent="0.25">
      <c r="A845" t="s">
        <v>268</v>
      </c>
    </row>
    <row r="846" spans="1:1" x14ac:dyDescent="0.25">
      <c r="A846" t="s">
        <v>44</v>
      </c>
    </row>
    <row r="848" spans="1:1" x14ac:dyDescent="0.25">
      <c r="A848" t="s">
        <v>217</v>
      </c>
    </row>
    <row r="849" spans="1:1" x14ac:dyDescent="0.25">
      <c r="A849" t="s">
        <v>33</v>
      </c>
    </row>
    <row r="850" spans="1:1" x14ac:dyDescent="0.25">
      <c r="A850" t="s">
        <v>88</v>
      </c>
    </row>
    <row r="851" spans="1:1" x14ac:dyDescent="0.25">
      <c r="A851" t="s">
        <v>33</v>
      </c>
    </row>
    <row r="852" spans="1:1" x14ac:dyDescent="0.25">
      <c r="A852" t="s">
        <v>218</v>
      </c>
    </row>
    <row r="853" spans="1:1" x14ac:dyDescent="0.25">
      <c r="A853" t="s">
        <v>113</v>
      </c>
    </row>
    <row r="854" spans="1:1" x14ac:dyDescent="0.25">
      <c r="A854" t="s">
        <v>117</v>
      </c>
    </row>
    <row r="855" spans="1:1" x14ac:dyDescent="0.25">
      <c r="A855" t="s">
        <v>44</v>
      </c>
    </row>
    <row r="857" spans="1:1" x14ac:dyDescent="0.25">
      <c r="A857" t="s">
        <v>91</v>
      </c>
    </row>
    <row r="858" spans="1:1" x14ac:dyDescent="0.25">
      <c r="A858" t="s">
        <v>33</v>
      </c>
    </row>
    <row r="859" spans="1:1" x14ac:dyDescent="0.25">
      <c r="A859" t="s">
        <v>219</v>
      </c>
    </row>
    <row r="860" spans="1:1" x14ac:dyDescent="0.25">
      <c r="A860" t="s">
        <v>126</v>
      </c>
    </row>
    <row r="861" spans="1:1" x14ac:dyDescent="0.25">
      <c r="A861" t="s">
        <v>269</v>
      </c>
    </row>
    <row r="862" spans="1:1" x14ac:dyDescent="0.25">
      <c r="A862" t="s">
        <v>44</v>
      </c>
    </row>
    <row r="864" spans="1:1" x14ac:dyDescent="0.25">
      <c r="A864" t="s">
        <v>94</v>
      </c>
    </row>
    <row r="865" spans="1:1" x14ac:dyDescent="0.25">
      <c r="A865" t="s">
        <v>33</v>
      </c>
    </row>
    <row r="866" spans="1:1" x14ac:dyDescent="0.25">
      <c r="A866" t="s">
        <v>219</v>
      </c>
    </row>
    <row r="867" spans="1:1" x14ac:dyDescent="0.25">
      <c r="A867" t="s">
        <v>89</v>
      </c>
    </row>
    <row r="868" spans="1:1" x14ac:dyDescent="0.25">
      <c r="A868" t="s">
        <v>270</v>
      </c>
    </row>
    <row r="869" spans="1:1" x14ac:dyDescent="0.25">
      <c r="A869" t="s">
        <v>44</v>
      </c>
    </row>
    <row r="871" spans="1:1" x14ac:dyDescent="0.25">
      <c r="A871" t="s">
        <v>96</v>
      </c>
    </row>
    <row r="872" spans="1:1" x14ac:dyDescent="0.25">
      <c r="A872" t="s">
        <v>33</v>
      </c>
    </row>
    <row r="873" spans="1:1" x14ac:dyDescent="0.25">
      <c r="A873" t="s">
        <v>222</v>
      </c>
    </row>
    <row r="874" spans="1:1" x14ac:dyDescent="0.25">
      <c r="A874" t="s">
        <v>89</v>
      </c>
    </row>
    <row r="875" spans="1:1" x14ac:dyDescent="0.25">
      <c r="A875" t="s">
        <v>271</v>
      </c>
    </row>
    <row r="876" spans="1:1" x14ac:dyDescent="0.25">
      <c r="A876" t="s">
        <v>44</v>
      </c>
    </row>
    <row r="878" spans="1:1" x14ac:dyDescent="0.25">
      <c r="A878" t="s">
        <v>44</v>
      </c>
    </row>
    <row r="880" spans="1:1" x14ac:dyDescent="0.25">
      <c r="A880" t="s">
        <v>224</v>
      </c>
    </row>
    <row r="881" spans="1:1" x14ac:dyDescent="0.25">
      <c r="A881" t="s">
        <v>33</v>
      </c>
    </row>
    <row r="882" spans="1:1" x14ac:dyDescent="0.25">
      <c r="A882" t="s">
        <v>88</v>
      </c>
    </row>
    <row r="883" spans="1:1" x14ac:dyDescent="0.25">
      <c r="A883" t="s">
        <v>33</v>
      </c>
    </row>
    <row r="884" spans="1:1" x14ac:dyDescent="0.25">
      <c r="A884" t="s">
        <v>219</v>
      </c>
    </row>
    <row r="885" spans="1:1" x14ac:dyDescent="0.25">
      <c r="A885" t="s">
        <v>126</v>
      </c>
    </row>
    <row r="886" spans="1:1" x14ac:dyDescent="0.25">
      <c r="A886" t="s">
        <v>203</v>
      </c>
    </row>
    <row r="887" spans="1:1" x14ac:dyDescent="0.25">
      <c r="A887" t="s">
        <v>44</v>
      </c>
    </row>
    <row r="889" spans="1:1" x14ac:dyDescent="0.25">
      <c r="A889" t="s">
        <v>91</v>
      </c>
    </row>
    <row r="890" spans="1:1" x14ac:dyDescent="0.25">
      <c r="A890" t="s">
        <v>33</v>
      </c>
    </row>
    <row r="891" spans="1:1" x14ac:dyDescent="0.25">
      <c r="A891" t="s">
        <v>219</v>
      </c>
    </row>
    <row r="892" spans="1:1" x14ac:dyDescent="0.25">
      <c r="A892" t="s">
        <v>89</v>
      </c>
    </row>
    <row r="893" spans="1:1" x14ac:dyDescent="0.25">
      <c r="A893" t="s">
        <v>272</v>
      </c>
    </row>
    <row r="894" spans="1:1" x14ac:dyDescent="0.25">
      <c r="A894" t="s">
        <v>44</v>
      </c>
    </row>
    <row r="896" spans="1:1" x14ac:dyDescent="0.25">
      <c r="A896" t="s">
        <v>94</v>
      </c>
    </row>
    <row r="897" spans="1:1" x14ac:dyDescent="0.25">
      <c r="A897" t="s">
        <v>33</v>
      </c>
    </row>
    <row r="898" spans="1:1" x14ac:dyDescent="0.25">
      <c r="A898" t="s">
        <v>222</v>
      </c>
    </row>
    <row r="899" spans="1:1" x14ac:dyDescent="0.25">
      <c r="A899" t="s">
        <v>89</v>
      </c>
    </row>
    <row r="900" spans="1:1" x14ac:dyDescent="0.25">
      <c r="A900" t="s">
        <v>233</v>
      </c>
    </row>
    <row r="901" spans="1:1" x14ac:dyDescent="0.25">
      <c r="A901" t="s">
        <v>44</v>
      </c>
    </row>
    <row r="903" spans="1:1" x14ac:dyDescent="0.25">
      <c r="A903" t="s">
        <v>44</v>
      </c>
    </row>
    <row r="905" spans="1:1" x14ac:dyDescent="0.25">
      <c r="A905" t="s">
        <v>227</v>
      </c>
    </row>
    <row r="906" spans="1:1" x14ac:dyDescent="0.25">
      <c r="A906" t="s">
        <v>33</v>
      </c>
    </row>
    <row r="907" spans="1:1" x14ac:dyDescent="0.25">
      <c r="A907" t="s">
        <v>88</v>
      </c>
    </row>
    <row r="908" spans="1:1" x14ac:dyDescent="0.25">
      <c r="A908" t="s">
        <v>33</v>
      </c>
    </row>
    <row r="909" spans="1:1" x14ac:dyDescent="0.25">
      <c r="A909" t="s">
        <v>218</v>
      </c>
    </row>
    <row r="910" spans="1:1" x14ac:dyDescent="0.25">
      <c r="A910" t="s">
        <v>95</v>
      </c>
    </row>
    <row r="911" spans="1:1" x14ac:dyDescent="0.25">
      <c r="A911" t="s">
        <v>189</v>
      </c>
    </row>
    <row r="912" spans="1:1" x14ac:dyDescent="0.25">
      <c r="A912" t="s">
        <v>44</v>
      </c>
    </row>
    <row r="914" spans="1:1" x14ac:dyDescent="0.25">
      <c r="A914" t="s">
        <v>91</v>
      </c>
    </row>
    <row r="915" spans="1:1" x14ac:dyDescent="0.25">
      <c r="A915" t="s">
        <v>33</v>
      </c>
    </row>
    <row r="916" spans="1:1" x14ac:dyDescent="0.25">
      <c r="A916" t="s">
        <v>218</v>
      </c>
    </row>
    <row r="917" spans="1:1" x14ac:dyDescent="0.25">
      <c r="A917" t="s">
        <v>89</v>
      </c>
    </row>
    <row r="918" spans="1:1" x14ac:dyDescent="0.25">
      <c r="A918" t="s">
        <v>273</v>
      </c>
    </row>
    <row r="919" spans="1:1" x14ac:dyDescent="0.25">
      <c r="A919" t="s">
        <v>44</v>
      </c>
    </row>
    <row r="921" spans="1:1" x14ac:dyDescent="0.25">
      <c r="A921" t="s">
        <v>94</v>
      </c>
    </row>
    <row r="922" spans="1:1" x14ac:dyDescent="0.25">
      <c r="A922" t="s">
        <v>33</v>
      </c>
    </row>
    <row r="923" spans="1:1" x14ac:dyDescent="0.25">
      <c r="A923" t="s">
        <v>218</v>
      </c>
    </row>
    <row r="924" spans="1:1" x14ac:dyDescent="0.25">
      <c r="A924" t="s">
        <v>149</v>
      </c>
    </row>
    <row r="925" spans="1:1" x14ac:dyDescent="0.25">
      <c r="A925" t="s">
        <v>198</v>
      </c>
    </row>
    <row r="926" spans="1:1" x14ac:dyDescent="0.25">
      <c r="A926" t="s">
        <v>44</v>
      </c>
    </row>
    <row r="928" spans="1:1" x14ac:dyDescent="0.25">
      <c r="A928" t="s">
        <v>96</v>
      </c>
    </row>
    <row r="929" spans="1:1" x14ac:dyDescent="0.25">
      <c r="A929" t="s">
        <v>33</v>
      </c>
    </row>
    <row r="930" spans="1:1" x14ac:dyDescent="0.25">
      <c r="A930" t="s">
        <v>218</v>
      </c>
    </row>
    <row r="931" spans="1:1" x14ac:dyDescent="0.25">
      <c r="A931" t="s">
        <v>97</v>
      </c>
    </row>
    <row r="932" spans="1:1" x14ac:dyDescent="0.25">
      <c r="A932" t="s">
        <v>90</v>
      </c>
    </row>
    <row r="933" spans="1:1" x14ac:dyDescent="0.25">
      <c r="A933" t="s">
        <v>44</v>
      </c>
    </row>
    <row r="935" spans="1:1" x14ac:dyDescent="0.25">
      <c r="A935" t="s">
        <v>99</v>
      </c>
    </row>
    <row r="936" spans="1:1" x14ac:dyDescent="0.25">
      <c r="A936" t="s">
        <v>33</v>
      </c>
    </row>
    <row r="937" spans="1:1" x14ac:dyDescent="0.25">
      <c r="A937" t="s">
        <v>218</v>
      </c>
    </row>
    <row r="938" spans="1:1" x14ac:dyDescent="0.25">
      <c r="A938" t="s">
        <v>92</v>
      </c>
    </row>
    <row r="939" spans="1:1" x14ac:dyDescent="0.25">
      <c r="A939" t="s">
        <v>236</v>
      </c>
    </row>
    <row r="940" spans="1:1" x14ac:dyDescent="0.25">
      <c r="A940" t="s">
        <v>44</v>
      </c>
    </row>
    <row r="942" spans="1:1" x14ac:dyDescent="0.25">
      <c r="A942" t="s">
        <v>160</v>
      </c>
    </row>
    <row r="943" spans="1:1" x14ac:dyDescent="0.25">
      <c r="A943" t="s">
        <v>33</v>
      </c>
    </row>
    <row r="944" spans="1:1" x14ac:dyDescent="0.25">
      <c r="A944" t="s">
        <v>218</v>
      </c>
    </row>
    <row r="945" spans="1:1" x14ac:dyDescent="0.25">
      <c r="A945" t="s">
        <v>161</v>
      </c>
    </row>
    <row r="946" spans="1:1" x14ac:dyDescent="0.25">
      <c r="A946" t="s">
        <v>274</v>
      </c>
    </row>
    <row r="947" spans="1:1" x14ac:dyDescent="0.25">
      <c r="A947" t="s">
        <v>44</v>
      </c>
    </row>
    <row r="949" spans="1:1" x14ac:dyDescent="0.25">
      <c r="A949" t="s">
        <v>166</v>
      </c>
    </row>
    <row r="950" spans="1:1" x14ac:dyDescent="0.25">
      <c r="A950" t="s">
        <v>33</v>
      </c>
    </row>
    <row r="951" spans="1:1" x14ac:dyDescent="0.25">
      <c r="A951" t="s">
        <v>218</v>
      </c>
    </row>
    <row r="952" spans="1:1" x14ac:dyDescent="0.25">
      <c r="A952" t="s">
        <v>100</v>
      </c>
    </row>
    <row r="953" spans="1:1" x14ac:dyDescent="0.25">
      <c r="A953" t="s">
        <v>169</v>
      </c>
    </row>
    <row r="954" spans="1:1" x14ac:dyDescent="0.25">
      <c r="A954" t="s">
        <v>44</v>
      </c>
    </row>
    <row r="956" spans="1:1" x14ac:dyDescent="0.25">
      <c r="A956" t="s">
        <v>170</v>
      </c>
    </row>
    <row r="957" spans="1:1" x14ac:dyDescent="0.25">
      <c r="A957" t="s">
        <v>33</v>
      </c>
    </row>
    <row r="958" spans="1:1" x14ac:dyDescent="0.25">
      <c r="A958" t="s">
        <v>218</v>
      </c>
    </row>
    <row r="959" spans="1:1" x14ac:dyDescent="0.25">
      <c r="A959" t="s">
        <v>171</v>
      </c>
    </row>
    <row r="960" spans="1:1" x14ac:dyDescent="0.25">
      <c r="A960" t="s">
        <v>274</v>
      </c>
    </row>
    <row r="961" spans="1:1" x14ac:dyDescent="0.25">
      <c r="A961" t="s">
        <v>44</v>
      </c>
    </row>
    <row r="963" spans="1:1" x14ac:dyDescent="0.25">
      <c r="A963" t="s">
        <v>175</v>
      </c>
    </row>
    <row r="964" spans="1:1" x14ac:dyDescent="0.25">
      <c r="A964" t="s">
        <v>33</v>
      </c>
    </row>
    <row r="965" spans="1:1" x14ac:dyDescent="0.25">
      <c r="A965" t="s">
        <v>218</v>
      </c>
    </row>
    <row r="966" spans="1:1" x14ac:dyDescent="0.25">
      <c r="A966" t="s">
        <v>176</v>
      </c>
    </row>
    <row r="967" spans="1:1" x14ac:dyDescent="0.25">
      <c r="A967" t="s">
        <v>234</v>
      </c>
    </row>
    <row r="968" spans="1:1" x14ac:dyDescent="0.25">
      <c r="A968" t="s">
        <v>44</v>
      </c>
    </row>
    <row r="970" spans="1:1" x14ac:dyDescent="0.25">
      <c r="A970" t="s">
        <v>180</v>
      </c>
    </row>
    <row r="971" spans="1:1" x14ac:dyDescent="0.25">
      <c r="A971" t="s">
        <v>33</v>
      </c>
    </row>
    <row r="972" spans="1:1" x14ac:dyDescent="0.25">
      <c r="A972" t="s">
        <v>218</v>
      </c>
    </row>
    <row r="973" spans="1:1" x14ac:dyDescent="0.25">
      <c r="A973" t="s">
        <v>181</v>
      </c>
    </row>
    <row r="974" spans="1:1" x14ac:dyDescent="0.25">
      <c r="A974" t="s">
        <v>198</v>
      </c>
    </row>
    <row r="975" spans="1:1" x14ac:dyDescent="0.25">
      <c r="A975" t="s">
        <v>44</v>
      </c>
    </row>
    <row r="977" spans="1:1" x14ac:dyDescent="0.25">
      <c r="A977" t="s">
        <v>184</v>
      </c>
    </row>
    <row r="978" spans="1:1" x14ac:dyDescent="0.25">
      <c r="A978" t="s">
        <v>33</v>
      </c>
    </row>
    <row r="979" spans="1:1" x14ac:dyDescent="0.25">
      <c r="A979" t="s">
        <v>218</v>
      </c>
    </row>
    <row r="980" spans="1:1" x14ac:dyDescent="0.25">
      <c r="A980" t="s">
        <v>185</v>
      </c>
    </row>
    <row r="981" spans="1:1" x14ac:dyDescent="0.25">
      <c r="A981" t="s">
        <v>174</v>
      </c>
    </row>
    <row r="982" spans="1:1" x14ac:dyDescent="0.25">
      <c r="A982" t="s">
        <v>44</v>
      </c>
    </row>
    <row r="984" spans="1:1" x14ac:dyDescent="0.25">
      <c r="A984" t="s">
        <v>190</v>
      </c>
    </row>
    <row r="985" spans="1:1" x14ac:dyDescent="0.25">
      <c r="A985" t="s">
        <v>33</v>
      </c>
    </row>
    <row r="986" spans="1:1" x14ac:dyDescent="0.25">
      <c r="A986" t="s">
        <v>218</v>
      </c>
    </row>
    <row r="987" spans="1:1" x14ac:dyDescent="0.25">
      <c r="A987" t="s">
        <v>191</v>
      </c>
    </row>
    <row r="988" spans="1:1" x14ac:dyDescent="0.25">
      <c r="A988" t="s">
        <v>194</v>
      </c>
    </row>
    <row r="989" spans="1:1" x14ac:dyDescent="0.25">
      <c r="A989" t="s">
        <v>44</v>
      </c>
    </row>
    <row r="991" spans="1:1" x14ac:dyDescent="0.25">
      <c r="A991" t="s">
        <v>195</v>
      </c>
    </row>
    <row r="992" spans="1:1" x14ac:dyDescent="0.25">
      <c r="A992" t="s">
        <v>33</v>
      </c>
    </row>
    <row r="993" spans="1:1" x14ac:dyDescent="0.25">
      <c r="A993" t="s">
        <v>218</v>
      </c>
    </row>
    <row r="994" spans="1:1" x14ac:dyDescent="0.25">
      <c r="A994" t="s">
        <v>196</v>
      </c>
    </row>
    <row r="995" spans="1:1" x14ac:dyDescent="0.25">
      <c r="A995" t="s">
        <v>198</v>
      </c>
    </row>
    <row r="996" spans="1:1" x14ac:dyDescent="0.25">
      <c r="A996" t="s">
        <v>44</v>
      </c>
    </row>
    <row r="998" spans="1:1" x14ac:dyDescent="0.25">
      <c r="A998" t="s">
        <v>199</v>
      </c>
    </row>
    <row r="999" spans="1:1" x14ac:dyDescent="0.25">
      <c r="A999" t="s">
        <v>33</v>
      </c>
    </row>
    <row r="1000" spans="1:1" x14ac:dyDescent="0.25">
      <c r="A1000" t="s">
        <v>218</v>
      </c>
    </row>
    <row r="1001" spans="1:1" x14ac:dyDescent="0.25">
      <c r="A1001" t="s">
        <v>200</v>
      </c>
    </row>
    <row r="1002" spans="1:1" x14ac:dyDescent="0.25">
      <c r="A1002" t="s">
        <v>203</v>
      </c>
    </row>
    <row r="1003" spans="1:1" x14ac:dyDescent="0.25">
      <c r="A1003" t="s">
        <v>44</v>
      </c>
    </row>
    <row r="1005" spans="1:1" x14ac:dyDescent="0.25">
      <c r="A1005" t="s">
        <v>204</v>
      </c>
    </row>
    <row r="1006" spans="1:1" x14ac:dyDescent="0.25">
      <c r="A1006" t="s">
        <v>33</v>
      </c>
    </row>
    <row r="1007" spans="1:1" x14ac:dyDescent="0.25">
      <c r="A1007" t="s">
        <v>218</v>
      </c>
    </row>
    <row r="1008" spans="1:1" x14ac:dyDescent="0.25">
      <c r="A1008" t="s">
        <v>205</v>
      </c>
    </row>
    <row r="1009" spans="1:1" x14ac:dyDescent="0.25">
      <c r="A1009" t="s">
        <v>203</v>
      </c>
    </row>
    <row r="1010" spans="1:1" x14ac:dyDescent="0.25">
      <c r="A1010" t="s">
        <v>44</v>
      </c>
    </row>
    <row r="1012" spans="1:1" x14ac:dyDescent="0.25">
      <c r="A1012" t="s">
        <v>44</v>
      </c>
    </row>
    <row r="1014" spans="1:1" x14ac:dyDescent="0.25">
      <c r="A1014" t="s">
        <v>235</v>
      </c>
    </row>
    <row r="1015" spans="1:1" x14ac:dyDescent="0.25">
      <c r="A1015" t="s">
        <v>33</v>
      </c>
    </row>
    <row r="1016" spans="1:1" x14ac:dyDescent="0.25">
      <c r="A1016" t="s">
        <v>88</v>
      </c>
    </row>
    <row r="1017" spans="1:1" x14ac:dyDescent="0.25">
      <c r="A1017" t="s">
        <v>33</v>
      </c>
    </row>
    <row r="1018" spans="1:1" x14ac:dyDescent="0.25">
      <c r="A1018" t="s">
        <v>218</v>
      </c>
    </row>
    <row r="1019" spans="1:1" x14ac:dyDescent="0.25">
      <c r="A1019" t="s">
        <v>95</v>
      </c>
    </row>
    <row r="1020" spans="1:1" x14ac:dyDescent="0.25">
      <c r="A1020" t="s">
        <v>93</v>
      </c>
    </row>
    <row r="1021" spans="1:1" x14ac:dyDescent="0.25">
      <c r="A1021" t="s">
        <v>44</v>
      </c>
    </row>
    <row r="1023" spans="1:1" x14ac:dyDescent="0.25">
      <c r="A1023" t="s">
        <v>91</v>
      </c>
    </row>
    <row r="1024" spans="1:1" x14ac:dyDescent="0.25">
      <c r="A1024" t="s">
        <v>33</v>
      </c>
    </row>
    <row r="1025" spans="1:1" x14ac:dyDescent="0.25">
      <c r="A1025" t="s">
        <v>218</v>
      </c>
    </row>
    <row r="1026" spans="1:1" x14ac:dyDescent="0.25">
      <c r="A1026" t="s">
        <v>89</v>
      </c>
    </row>
    <row r="1027" spans="1:1" x14ac:dyDescent="0.25">
      <c r="A1027" t="s">
        <v>117</v>
      </c>
    </row>
    <row r="1028" spans="1:1" x14ac:dyDescent="0.25">
      <c r="A1028" t="s">
        <v>44</v>
      </c>
    </row>
    <row r="1030" spans="1:1" x14ac:dyDescent="0.25">
      <c r="A1030" t="s">
        <v>94</v>
      </c>
    </row>
    <row r="1031" spans="1:1" x14ac:dyDescent="0.25">
      <c r="A1031" t="s">
        <v>33</v>
      </c>
    </row>
    <row r="1032" spans="1:1" x14ac:dyDescent="0.25">
      <c r="A1032" t="s">
        <v>218</v>
      </c>
    </row>
    <row r="1033" spans="1:1" x14ac:dyDescent="0.25">
      <c r="A1033" t="s">
        <v>149</v>
      </c>
    </row>
    <row r="1034" spans="1:1" x14ac:dyDescent="0.25">
      <c r="A1034" t="s">
        <v>203</v>
      </c>
    </row>
    <row r="1035" spans="1:1" x14ac:dyDescent="0.25">
      <c r="A1035" t="s">
        <v>44</v>
      </c>
    </row>
    <row r="1037" spans="1:1" x14ac:dyDescent="0.25">
      <c r="A1037" t="s">
        <v>96</v>
      </c>
    </row>
    <row r="1038" spans="1:1" x14ac:dyDescent="0.25">
      <c r="A1038" t="s">
        <v>33</v>
      </c>
    </row>
    <row r="1039" spans="1:1" x14ac:dyDescent="0.25">
      <c r="A1039" t="s">
        <v>218</v>
      </c>
    </row>
    <row r="1040" spans="1:1" x14ac:dyDescent="0.25">
      <c r="A1040" t="s">
        <v>92</v>
      </c>
    </row>
    <row r="1041" spans="1:1" x14ac:dyDescent="0.25">
      <c r="A1041" t="s">
        <v>98</v>
      </c>
    </row>
    <row r="1042" spans="1:1" x14ac:dyDescent="0.25">
      <c r="A1042" t="s">
        <v>44</v>
      </c>
    </row>
    <row r="1044" spans="1:1" x14ac:dyDescent="0.25">
      <c r="A1044" t="s">
        <v>99</v>
      </c>
    </row>
    <row r="1045" spans="1:1" x14ac:dyDescent="0.25">
      <c r="A1045" t="s">
        <v>33</v>
      </c>
    </row>
    <row r="1046" spans="1:1" x14ac:dyDescent="0.25">
      <c r="A1046" t="s">
        <v>218</v>
      </c>
    </row>
    <row r="1047" spans="1:1" x14ac:dyDescent="0.25">
      <c r="A1047" t="s">
        <v>161</v>
      </c>
    </row>
    <row r="1048" spans="1:1" x14ac:dyDescent="0.25">
      <c r="A1048" t="s">
        <v>255</v>
      </c>
    </row>
    <row r="1049" spans="1:1" x14ac:dyDescent="0.25">
      <c r="A1049" t="s">
        <v>44</v>
      </c>
    </row>
    <row r="1051" spans="1:1" x14ac:dyDescent="0.25">
      <c r="A1051" t="s">
        <v>160</v>
      </c>
    </row>
    <row r="1052" spans="1:1" x14ac:dyDescent="0.25">
      <c r="A1052" t="s">
        <v>33</v>
      </c>
    </row>
    <row r="1053" spans="1:1" x14ac:dyDescent="0.25">
      <c r="A1053" t="s">
        <v>218</v>
      </c>
    </row>
    <row r="1054" spans="1:1" x14ac:dyDescent="0.25">
      <c r="A1054" t="s">
        <v>171</v>
      </c>
    </row>
    <row r="1055" spans="1:1" x14ac:dyDescent="0.25">
      <c r="A1055" t="s">
        <v>255</v>
      </c>
    </row>
    <row r="1056" spans="1:1" x14ac:dyDescent="0.25">
      <c r="A1056" t="s">
        <v>44</v>
      </c>
    </row>
    <row r="1058" spans="1:1" x14ac:dyDescent="0.25">
      <c r="A1058" t="s">
        <v>166</v>
      </c>
    </row>
    <row r="1059" spans="1:1" x14ac:dyDescent="0.25">
      <c r="A1059" t="s">
        <v>33</v>
      </c>
    </row>
    <row r="1060" spans="1:1" x14ac:dyDescent="0.25">
      <c r="A1060" t="s">
        <v>218</v>
      </c>
    </row>
    <row r="1061" spans="1:1" x14ac:dyDescent="0.25">
      <c r="A1061" t="s">
        <v>176</v>
      </c>
    </row>
    <row r="1062" spans="1:1" x14ac:dyDescent="0.25">
      <c r="A1062" t="s">
        <v>275</v>
      </c>
    </row>
    <row r="1063" spans="1:1" x14ac:dyDescent="0.25">
      <c r="A1063" t="s">
        <v>44</v>
      </c>
    </row>
    <row r="1065" spans="1:1" x14ac:dyDescent="0.25">
      <c r="A1065" t="s">
        <v>170</v>
      </c>
    </row>
    <row r="1066" spans="1:1" x14ac:dyDescent="0.25">
      <c r="A1066" t="s">
        <v>33</v>
      </c>
    </row>
    <row r="1067" spans="1:1" x14ac:dyDescent="0.25">
      <c r="A1067" t="s">
        <v>218</v>
      </c>
    </row>
    <row r="1068" spans="1:1" x14ac:dyDescent="0.25">
      <c r="A1068" t="s">
        <v>181</v>
      </c>
    </row>
    <row r="1069" spans="1:1" x14ac:dyDescent="0.25">
      <c r="A1069" t="s">
        <v>276</v>
      </c>
    </row>
    <row r="1070" spans="1:1" x14ac:dyDescent="0.25">
      <c r="A1070" t="s">
        <v>44</v>
      </c>
    </row>
    <row r="1072" spans="1:1" x14ac:dyDescent="0.25">
      <c r="A1072" t="s">
        <v>175</v>
      </c>
    </row>
    <row r="1073" spans="1:1" x14ac:dyDescent="0.25">
      <c r="A1073" t="s">
        <v>33</v>
      </c>
    </row>
    <row r="1074" spans="1:1" x14ac:dyDescent="0.25">
      <c r="A1074" t="s">
        <v>218</v>
      </c>
    </row>
    <row r="1075" spans="1:1" x14ac:dyDescent="0.25">
      <c r="A1075" t="s">
        <v>185</v>
      </c>
    </row>
    <row r="1076" spans="1:1" x14ac:dyDescent="0.25">
      <c r="A1076" t="s">
        <v>98</v>
      </c>
    </row>
    <row r="1077" spans="1:1" x14ac:dyDescent="0.25">
      <c r="A1077" t="s">
        <v>44</v>
      </c>
    </row>
    <row r="1079" spans="1:1" x14ac:dyDescent="0.25">
      <c r="A1079" t="s">
        <v>44</v>
      </c>
    </row>
    <row r="1081" spans="1:1" x14ac:dyDescent="0.25">
      <c r="A1081" t="s">
        <v>44</v>
      </c>
    </row>
    <row r="1083" spans="1:1" x14ac:dyDescent="0.25">
      <c r="A1083" t="s">
        <v>96</v>
      </c>
    </row>
    <row r="1084" spans="1:1" x14ac:dyDescent="0.25">
      <c r="A1084" t="s">
        <v>33</v>
      </c>
    </row>
    <row r="1085" spans="1:1" x14ac:dyDescent="0.25">
      <c r="A1085" t="s">
        <v>277</v>
      </c>
    </row>
    <row r="1086" spans="1:1" x14ac:dyDescent="0.25">
      <c r="A1086" t="s">
        <v>210</v>
      </c>
    </row>
    <row r="1087" spans="1:1" x14ac:dyDescent="0.25">
      <c r="A1087" t="s">
        <v>33</v>
      </c>
    </row>
    <row r="1088" spans="1:1" x14ac:dyDescent="0.25">
      <c r="A1088" t="s">
        <v>278</v>
      </c>
    </row>
    <row r="1089" spans="1:1" x14ac:dyDescent="0.25">
      <c r="A1089" t="s">
        <v>279</v>
      </c>
    </row>
    <row r="1090" spans="1:1" x14ac:dyDescent="0.25">
      <c r="A1090" t="s">
        <v>280</v>
      </c>
    </row>
    <row r="1091" spans="1:1" x14ac:dyDescent="0.25">
      <c r="A1091" t="s">
        <v>281</v>
      </c>
    </row>
    <row r="1092" spans="1:1" x14ac:dyDescent="0.25">
      <c r="A1092" t="s">
        <v>282</v>
      </c>
    </row>
    <row r="1093" spans="1:1" x14ac:dyDescent="0.25">
      <c r="A1093" t="s">
        <v>283</v>
      </c>
    </row>
    <row r="1094" spans="1:1" x14ac:dyDescent="0.25">
      <c r="A1094" t="s">
        <v>44</v>
      </c>
    </row>
    <row r="1096" spans="1:1" x14ac:dyDescent="0.25">
      <c r="A1096" t="s">
        <v>217</v>
      </c>
    </row>
    <row r="1097" spans="1:1" x14ac:dyDescent="0.25">
      <c r="A1097" t="s">
        <v>33</v>
      </c>
    </row>
    <row r="1098" spans="1:1" x14ac:dyDescent="0.25">
      <c r="A1098" t="s">
        <v>88</v>
      </c>
    </row>
    <row r="1099" spans="1:1" x14ac:dyDescent="0.25">
      <c r="A1099" t="s">
        <v>33</v>
      </c>
    </row>
    <row r="1100" spans="1:1" x14ac:dyDescent="0.25">
      <c r="A1100" t="s">
        <v>218</v>
      </c>
    </row>
    <row r="1101" spans="1:1" x14ac:dyDescent="0.25">
      <c r="A1101" t="s">
        <v>113</v>
      </c>
    </row>
    <row r="1102" spans="1:1" x14ac:dyDescent="0.25">
      <c r="A1102" t="s">
        <v>117</v>
      </c>
    </row>
    <row r="1103" spans="1:1" x14ac:dyDescent="0.25">
      <c r="A1103" t="s">
        <v>44</v>
      </c>
    </row>
    <row r="1105" spans="1:1" x14ac:dyDescent="0.25">
      <c r="A1105" t="s">
        <v>91</v>
      </c>
    </row>
    <row r="1106" spans="1:1" x14ac:dyDescent="0.25">
      <c r="A1106" t="s">
        <v>33</v>
      </c>
    </row>
    <row r="1107" spans="1:1" x14ac:dyDescent="0.25">
      <c r="A1107" t="s">
        <v>219</v>
      </c>
    </row>
    <row r="1108" spans="1:1" x14ac:dyDescent="0.25">
      <c r="A1108" t="s">
        <v>126</v>
      </c>
    </row>
    <row r="1109" spans="1:1" x14ac:dyDescent="0.25">
      <c r="A1109" t="s">
        <v>284</v>
      </c>
    </row>
    <row r="1110" spans="1:1" x14ac:dyDescent="0.25">
      <c r="A1110" t="s">
        <v>44</v>
      </c>
    </row>
    <row r="1112" spans="1:1" x14ac:dyDescent="0.25">
      <c r="A1112" t="s">
        <v>94</v>
      </c>
    </row>
    <row r="1113" spans="1:1" x14ac:dyDescent="0.25">
      <c r="A1113" t="s">
        <v>33</v>
      </c>
    </row>
    <row r="1114" spans="1:1" x14ac:dyDescent="0.25">
      <c r="A1114" t="s">
        <v>219</v>
      </c>
    </row>
    <row r="1115" spans="1:1" x14ac:dyDescent="0.25">
      <c r="A1115" t="s">
        <v>89</v>
      </c>
    </row>
    <row r="1116" spans="1:1" x14ac:dyDescent="0.25">
      <c r="A1116" t="s">
        <v>285</v>
      </c>
    </row>
    <row r="1117" spans="1:1" x14ac:dyDescent="0.25">
      <c r="A1117" t="s">
        <v>44</v>
      </c>
    </row>
    <row r="1119" spans="1:1" x14ac:dyDescent="0.25">
      <c r="A1119" t="s">
        <v>96</v>
      </c>
    </row>
    <row r="1120" spans="1:1" x14ac:dyDescent="0.25">
      <c r="A1120" t="s">
        <v>33</v>
      </c>
    </row>
    <row r="1121" spans="1:1" x14ac:dyDescent="0.25">
      <c r="A1121" t="s">
        <v>222</v>
      </c>
    </row>
    <row r="1122" spans="1:1" x14ac:dyDescent="0.25">
      <c r="A1122" t="s">
        <v>89</v>
      </c>
    </row>
    <row r="1123" spans="1:1" x14ac:dyDescent="0.25">
      <c r="A1123" t="s">
        <v>286</v>
      </c>
    </row>
    <row r="1124" spans="1:1" x14ac:dyDescent="0.25">
      <c r="A1124" t="s">
        <v>44</v>
      </c>
    </row>
    <row r="1126" spans="1:1" x14ac:dyDescent="0.25">
      <c r="A1126" t="s">
        <v>44</v>
      </c>
    </row>
    <row r="1128" spans="1:1" x14ac:dyDescent="0.25">
      <c r="A1128" t="s">
        <v>224</v>
      </c>
    </row>
    <row r="1129" spans="1:1" x14ac:dyDescent="0.25">
      <c r="A1129" t="s">
        <v>33</v>
      </c>
    </row>
    <row r="1130" spans="1:1" x14ac:dyDescent="0.25">
      <c r="A1130" t="s">
        <v>88</v>
      </c>
    </row>
    <row r="1131" spans="1:1" x14ac:dyDescent="0.25">
      <c r="A1131" t="s">
        <v>33</v>
      </c>
    </row>
    <row r="1132" spans="1:1" x14ac:dyDescent="0.25">
      <c r="A1132" t="s">
        <v>219</v>
      </c>
    </row>
    <row r="1133" spans="1:1" x14ac:dyDescent="0.25">
      <c r="A1133" t="s">
        <v>126</v>
      </c>
    </row>
    <row r="1134" spans="1:1" x14ac:dyDescent="0.25">
      <c r="A1134" t="s">
        <v>255</v>
      </c>
    </row>
    <row r="1135" spans="1:1" x14ac:dyDescent="0.25">
      <c r="A1135" t="s">
        <v>44</v>
      </c>
    </row>
    <row r="1137" spans="1:1" x14ac:dyDescent="0.25">
      <c r="A1137" t="s">
        <v>91</v>
      </c>
    </row>
    <row r="1138" spans="1:1" x14ac:dyDescent="0.25">
      <c r="A1138" t="s">
        <v>33</v>
      </c>
    </row>
    <row r="1139" spans="1:1" x14ac:dyDescent="0.25">
      <c r="A1139" t="s">
        <v>219</v>
      </c>
    </row>
    <row r="1140" spans="1:1" x14ac:dyDescent="0.25">
      <c r="A1140" t="s">
        <v>89</v>
      </c>
    </row>
    <row r="1141" spans="1:1" x14ac:dyDescent="0.25">
      <c r="A1141" t="s">
        <v>287</v>
      </c>
    </row>
    <row r="1142" spans="1:1" x14ac:dyDescent="0.25">
      <c r="A1142" t="s">
        <v>44</v>
      </c>
    </row>
    <row r="1144" spans="1:1" x14ac:dyDescent="0.25">
      <c r="A1144" t="s">
        <v>94</v>
      </c>
    </row>
    <row r="1145" spans="1:1" x14ac:dyDescent="0.25">
      <c r="A1145" t="s">
        <v>33</v>
      </c>
    </row>
    <row r="1146" spans="1:1" x14ac:dyDescent="0.25">
      <c r="A1146" t="s">
        <v>222</v>
      </c>
    </row>
    <row r="1147" spans="1:1" x14ac:dyDescent="0.25">
      <c r="A1147" t="s">
        <v>89</v>
      </c>
    </row>
    <row r="1148" spans="1:1" x14ac:dyDescent="0.25">
      <c r="A1148" t="s">
        <v>257</v>
      </c>
    </row>
    <row r="1149" spans="1:1" x14ac:dyDescent="0.25">
      <c r="A1149" t="s">
        <v>44</v>
      </c>
    </row>
    <row r="1151" spans="1:1" x14ac:dyDescent="0.25">
      <c r="A1151" t="s">
        <v>44</v>
      </c>
    </row>
    <row r="1153" spans="1:1" x14ac:dyDescent="0.25">
      <c r="A1153" t="s">
        <v>227</v>
      </c>
    </row>
    <row r="1154" spans="1:1" x14ac:dyDescent="0.25">
      <c r="A1154" t="s">
        <v>33</v>
      </c>
    </row>
    <row r="1155" spans="1:1" x14ac:dyDescent="0.25">
      <c r="A1155" t="s">
        <v>88</v>
      </c>
    </row>
    <row r="1156" spans="1:1" x14ac:dyDescent="0.25">
      <c r="A1156" t="s">
        <v>33</v>
      </c>
    </row>
    <row r="1157" spans="1:1" x14ac:dyDescent="0.25">
      <c r="A1157" t="s">
        <v>218</v>
      </c>
    </row>
    <row r="1158" spans="1:1" x14ac:dyDescent="0.25">
      <c r="A1158" t="s">
        <v>95</v>
      </c>
    </row>
    <row r="1159" spans="1:1" x14ac:dyDescent="0.25">
      <c r="A1159" t="s">
        <v>288</v>
      </c>
    </row>
    <row r="1160" spans="1:1" x14ac:dyDescent="0.25">
      <c r="A1160" t="s">
        <v>44</v>
      </c>
    </row>
    <row r="1162" spans="1:1" x14ac:dyDescent="0.25">
      <c r="A1162" t="s">
        <v>91</v>
      </c>
    </row>
    <row r="1163" spans="1:1" x14ac:dyDescent="0.25">
      <c r="A1163" t="s">
        <v>33</v>
      </c>
    </row>
    <row r="1164" spans="1:1" x14ac:dyDescent="0.25">
      <c r="A1164" t="s">
        <v>218</v>
      </c>
    </row>
    <row r="1165" spans="1:1" x14ac:dyDescent="0.25">
      <c r="A1165" t="s">
        <v>89</v>
      </c>
    </row>
    <row r="1166" spans="1:1" x14ac:dyDescent="0.25">
      <c r="A1166" t="s">
        <v>274</v>
      </c>
    </row>
    <row r="1167" spans="1:1" x14ac:dyDescent="0.25">
      <c r="A1167" t="s">
        <v>44</v>
      </c>
    </row>
    <row r="1169" spans="1:1" x14ac:dyDescent="0.25">
      <c r="A1169" t="s">
        <v>94</v>
      </c>
    </row>
    <row r="1170" spans="1:1" x14ac:dyDescent="0.25">
      <c r="A1170" t="s">
        <v>33</v>
      </c>
    </row>
    <row r="1171" spans="1:1" x14ac:dyDescent="0.25">
      <c r="A1171" t="s">
        <v>218</v>
      </c>
    </row>
    <row r="1172" spans="1:1" x14ac:dyDescent="0.25">
      <c r="A1172" t="s">
        <v>149</v>
      </c>
    </row>
    <row r="1173" spans="1:1" x14ac:dyDescent="0.25">
      <c r="A1173" t="s">
        <v>101</v>
      </c>
    </row>
    <row r="1174" spans="1:1" x14ac:dyDescent="0.25">
      <c r="A1174" t="s">
        <v>44</v>
      </c>
    </row>
    <row r="1176" spans="1:1" x14ac:dyDescent="0.25">
      <c r="A1176" t="s">
        <v>96</v>
      </c>
    </row>
    <row r="1177" spans="1:1" x14ac:dyDescent="0.25">
      <c r="A1177" t="s">
        <v>33</v>
      </c>
    </row>
    <row r="1178" spans="1:1" x14ac:dyDescent="0.25">
      <c r="A1178" t="s">
        <v>218</v>
      </c>
    </row>
    <row r="1179" spans="1:1" x14ac:dyDescent="0.25">
      <c r="A1179" t="s">
        <v>97</v>
      </c>
    </row>
    <row r="1180" spans="1:1" x14ac:dyDescent="0.25">
      <c r="A1180" t="s">
        <v>289</v>
      </c>
    </row>
    <row r="1181" spans="1:1" x14ac:dyDescent="0.25">
      <c r="A1181" t="s">
        <v>44</v>
      </c>
    </row>
    <row r="1183" spans="1:1" x14ac:dyDescent="0.25">
      <c r="A1183" t="s">
        <v>99</v>
      </c>
    </row>
    <row r="1184" spans="1:1" x14ac:dyDescent="0.25">
      <c r="A1184" t="s">
        <v>33</v>
      </c>
    </row>
    <row r="1185" spans="1:1" x14ac:dyDescent="0.25">
      <c r="A1185" t="s">
        <v>218</v>
      </c>
    </row>
    <row r="1186" spans="1:1" x14ac:dyDescent="0.25">
      <c r="A1186" t="s">
        <v>92</v>
      </c>
    </row>
    <row r="1187" spans="1:1" x14ac:dyDescent="0.25">
      <c r="A1187" t="s">
        <v>290</v>
      </c>
    </row>
    <row r="1188" spans="1:1" x14ac:dyDescent="0.25">
      <c r="A1188" t="s">
        <v>44</v>
      </c>
    </row>
    <row r="1190" spans="1:1" x14ac:dyDescent="0.25">
      <c r="A1190" t="s">
        <v>160</v>
      </c>
    </row>
    <row r="1191" spans="1:1" x14ac:dyDescent="0.25">
      <c r="A1191" t="s">
        <v>33</v>
      </c>
    </row>
    <row r="1192" spans="1:1" x14ac:dyDescent="0.25">
      <c r="A1192" t="s">
        <v>218</v>
      </c>
    </row>
    <row r="1193" spans="1:1" x14ac:dyDescent="0.25">
      <c r="A1193" t="s">
        <v>161</v>
      </c>
    </row>
    <row r="1194" spans="1:1" x14ac:dyDescent="0.25">
      <c r="A1194" t="s">
        <v>274</v>
      </c>
    </row>
    <row r="1195" spans="1:1" x14ac:dyDescent="0.25">
      <c r="A1195" t="s">
        <v>44</v>
      </c>
    </row>
    <row r="1197" spans="1:1" x14ac:dyDescent="0.25">
      <c r="A1197" t="s">
        <v>166</v>
      </c>
    </row>
    <row r="1198" spans="1:1" x14ac:dyDescent="0.25">
      <c r="A1198" t="s">
        <v>33</v>
      </c>
    </row>
    <row r="1199" spans="1:1" x14ac:dyDescent="0.25">
      <c r="A1199" t="s">
        <v>218</v>
      </c>
    </row>
    <row r="1200" spans="1:1" x14ac:dyDescent="0.25">
      <c r="A1200" t="s">
        <v>100</v>
      </c>
    </row>
    <row r="1201" spans="1:1" x14ac:dyDescent="0.25">
      <c r="A1201" t="s">
        <v>169</v>
      </c>
    </row>
    <row r="1202" spans="1:1" x14ac:dyDescent="0.25">
      <c r="A1202" t="s">
        <v>44</v>
      </c>
    </row>
    <row r="1204" spans="1:1" x14ac:dyDescent="0.25">
      <c r="A1204" t="s">
        <v>170</v>
      </c>
    </row>
    <row r="1205" spans="1:1" x14ac:dyDescent="0.25">
      <c r="A1205" t="s">
        <v>33</v>
      </c>
    </row>
    <row r="1206" spans="1:1" x14ac:dyDescent="0.25">
      <c r="A1206" t="s">
        <v>218</v>
      </c>
    </row>
    <row r="1207" spans="1:1" x14ac:dyDescent="0.25">
      <c r="A1207" t="s">
        <v>171</v>
      </c>
    </row>
    <row r="1208" spans="1:1" x14ac:dyDescent="0.25">
      <c r="A1208" t="s">
        <v>274</v>
      </c>
    </row>
    <row r="1209" spans="1:1" x14ac:dyDescent="0.25">
      <c r="A1209" t="s">
        <v>44</v>
      </c>
    </row>
    <row r="1211" spans="1:1" x14ac:dyDescent="0.25">
      <c r="A1211" t="s">
        <v>175</v>
      </c>
    </row>
    <row r="1212" spans="1:1" x14ac:dyDescent="0.25">
      <c r="A1212" t="s">
        <v>33</v>
      </c>
    </row>
    <row r="1213" spans="1:1" x14ac:dyDescent="0.25">
      <c r="A1213" t="s">
        <v>218</v>
      </c>
    </row>
    <row r="1214" spans="1:1" x14ac:dyDescent="0.25">
      <c r="A1214" t="s">
        <v>176</v>
      </c>
    </row>
    <row r="1215" spans="1:1" x14ac:dyDescent="0.25">
      <c r="A1215" t="s">
        <v>274</v>
      </c>
    </row>
    <row r="1216" spans="1:1" x14ac:dyDescent="0.25">
      <c r="A1216" t="s">
        <v>44</v>
      </c>
    </row>
    <row r="1218" spans="1:1" x14ac:dyDescent="0.25">
      <c r="A1218" t="s">
        <v>180</v>
      </c>
    </row>
    <row r="1219" spans="1:1" x14ac:dyDescent="0.25">
      <c r="A1219" t="s">
        <v>33</v>
      </c>
    </row>
    <row r="1220" spans="1:1" x14ac:dyDescent="0.25">
      <c r="A1220" t="s">
        <v>218</v>
      </c>
    </row>
    <row r="1221" spans="1:1" x14ac:dyDescent="0.25">
      <c r="A1221" t="s">
        <v>181</v>
      </c>
    </row>
    <row r="1222" spans="1:1" x14ac:dyDescent="0.25">
      <c r="A1222" t="s">
        <v>274</v>
      </c>
    </row>
    <row r="1223" spans="1:1" x14ac:dyDescent="0.25">
      <c r="A1223" t="s">
        <v>44</v>
      </c>
    </row>
    <row r="1225" spans="1:1" x14ac:dyDescent="0.25">
      <c r="A1225" t="s">
        <v>184</v>
      </c>
    </row>
    <row r="1226" spans="1:1" x14ac:dyDescent="0.25">
      <c r="A1226" t="s">
        <v>33</v>
      </c>
    </row>
    <row r="1227" spans="1:1" x14ac:dyDescent="0.25">
      <c r="A1227" t="s">
        <v>218</v>
      </c>
    </row>
    <row r="1228" spans="1:1" x14ac:dyDescent="0.25">
      <c r="A1228" t="s">
        <v>185</v>
      </c>
    </row>
    <row r="1229" spans="1:1" x14ac:dyDescent="0.25">
      <c r="A1229" t="s">
        <v>291</v>
      </c>
    </row>
    <row r="1230" spans="1:1" x14ac:dyDescent="0.25">
      <c r="A1230" t="s">
        <v>44</v>
      </c>
    </row>
    <row r="1232" spans="1:1" x14ac:dyDescent="0.25">
      <c r="A1232" t="s">
        <v>190</v>
      </c>
    </row>
    <row r="1233" spans="1:1" x14ac:dyDescent="0.25">
      <c r="A1233" t="s">
        <v>33</v>
      </c>
    </row>
    <row r="1234" spans="1:1" x14ac:dyDescent="0.25">
      <c r="A1234" t="s">
        <v>218</v>
      </c>
    </row>
    <row r="1235" spans="1:1" x14ac:dyDescent="0.25">
      <c r="A1235" t="s">
        <v>191</v>
      </c>
    </row>
    <row r="1236" spans="1:1" x14ac:dyDescent="0.25">
      <c r="A1236" t="s">
        <v>292</v>
      </c>
    </row>
    <row r="1237" spans="1:1" x14ac:dyDescent="0.25">
      <c r="A1237" t="s">
        <v>44</v>
      </c>
    </row>
    <row r="1239" spans="1:1" x14ac:dyDescent="0.25">
      <c r="A1239" t="s">
        <v>195</v>
      </c>
    </row>
    <row r="1240" spans="1:1" x14ac:dyDescent="0.25">
      <c r="A1240" t="s">
        <v>33</v>
      </c>
    </row>
    <row r="1241" spans="1:1" x14ac:dyDescent="0.25">
      <c r="A1241" t="s">
        <v>218</v>
      </c>
    </row>
    <row r="1242" spans="1:1" x14ac:dyDescent="0.25">
      <c r="A1242" t="s">
        <v>196</v>
      </c>
    </row>
    <row r="1243" spans="1:1" x14ac:dyDescent="0.25">
      <c r="A1243" t="s">
        <v>255</v>
      </c>
    </row>
    <row r="1244" spans="1:1" x14ac:dyDescent="0.25">
      <c r="A1244" t="s">
        <v>44</v>
      </c>
    </row>
    <row r="1246" spans="1:1" x14ac:dyDescent="0.25">
      <c r="A1246" t="s">
        <v>199</v>
      </c>
    </row>
    <row r="1247" spans="1:1" x14ac:dyDescent="0.25">
      <c r="A1247" t="s">
        <v>33</v>
      </c>
    </row>
    <row r="1248" spans="1:1" x14ac:dyDescent="0.25">
      <c r="A1248" t="s">
        <v>218</v>
      </c>
    </row>
    <row r="1249" spans="1:1" x14ac:dyDescent="0.25">
      <c r="A1249" t="s">
        <v>200</v>
      </c>
    </row>
    <row r="1250" spans="1:1" x14ac:dyDescent="0.25">
      <c r="A1250" t="s">
        <v>203</v>
      </c>
    </row>
    <row r="1251" spans="1:1" x14ac:dyDescent="0.25">
      <c r="A1251" t="s">
        <v>44</v>
      </c>
    </row>
    <row r="1253" spans="1:1" x14ac:dyDescent="0.25">
      <c r="A1253" t="s">
        <v>204</v>
      </c>
    </row>
    <row r="1254" spans="1:1" x14ac:dyDescent="0.25">
      <c r="A1254" t="s">
        <v>33</v>
      </c>
    </row>
    <row r="1255" spans="1:1" x14ac:dyDescent="0.25">
      <c r="A1255" t="s">
        <v>218</v>
      </c>
    </row>
    <row r="1256" spans="1:1" x14ac:dyDescent="0.25">
      <c r="A1256" t="s">
        <v>205</v>
      </c>
    </row>
    <row r="1257" spans="1:1" x14ac:dyDescent="0.25">
      <c r="A1257" t="s">
        <v>203</v>
      </c>
    </row>
    <row r="1258" spans="1:1" x14ac:dyDescent="0.25">
      <c r="A1258" t="s">
        <v>44</v>
      </c>
    </row>
    <row r="1260" spans="1:1" x14ac:dyDescent="0.25">
      <c r="A1260" t="s">
        <v>44</v>
      </c>
    </row>
    <row r="1262" spans="1:1" x14ac:dyDescent="0.25">
      <c r="A1262" t="s">
        <v>235</v>
      </c>
    </row>
    <row r="1263" spans="1:1" x14ac:dyDescent="0.25">
      <c r="A1263" t="s">
        <v>33</v>
      </c>
    </row>
    <row r="1264" spans="1:1" x14ac:dyDescent="0.25">
      <c r="A1264" t="s">
        <v>88</v>
      </c>
    </row>
    <row r="1265" spans="1:1" x14ac:dyDescent="0.25">
      <c r="A1265" t="s">
        <v>33</v>
      </c>
    </row>
    <row r="1266" spans="1:1" x14ac:dyDescent="0.25">
      <c r="A1266" t="s">
        <v>218</v>
      </c>
    </row>
    <row r="1267" spans="1:1" x14ac:dyDescent="0.25">
      <c r="A1267" t="s">
        <v>95</v>
      </c>
    </row>
    <row r="1268" spans="1:1" x14ac:dyDescent="0.25">
      <c r="A1268" t="s">
        <v>293</v>
      </c>
    </row>
    <row r="1269" spans="1:1" x14ac:dyDescent="0.25">
      <c r="A1269" t="s">
        <v>44</v>
      </c>
    </row>
    <row r="1271" spans="1:1" x14ac:dyDescent="0.25">
      <c r="A1271" t="s">
        <v>91</v>
      </c>
    </row>
    <row r="1272" spans="1:1" x14ac:dyDescent="0.25">
      <c r="A1272" t="s">
        <v>33</v>
      </c>
    </row>
    <row r="1273" spans="1:1" x14ac:dyDescent="0.25">
      <c r="A1273" t="s">
        <v>218</v>
      </c>
    </row>
    <row r="1274" spans="1:1" x14ac:dyDescent="0.25">
      <c r="A1274" t="s">
        <v>89</v>
      </c>
    </row>
    <row r="1275" spans="1:1" x14ac:dyDescent="0.25">
      <c r="A1275" t="s">
        <v>273</v>
      </c>
    </row>
    <row r="1276" spans="1:1" x14ac:dyDescent="0.25">
      <c r="A1276" t="s">
        <v>44</v>
      </c>
    </row>
    <row r="1278" spans="1:1" x14ac:dyDescent="0.25">
      <c r="A1278" t="s">
        <v>94</v>
      </c>
    </row>
    <row r="1279" spans="1:1" x14ac:dyDescent="0.25">
      <c r="A1279" t="s">
        <v>33</v>
      </c>
    </row>
    <row r="1280" spans="1:1" x14ac:dyDescent="0.25">
      <c r="A1280" t="s">
        <v>218</v>
      </c>
    </row>
    <row r="1281" spans="1:1" x14ac:dyDescent="0.25">
      <c r="A1281" t="s">
        <v>149</v>
      </c>
    </row>
    <row r="1282" spans="1:1" x14ac:dyDescent="0.25">
      <c r="A1282" t="s">
        <v>101</v>
      </c>
    </row>
    <row r="1283" spans="1:1" x14ac:dyDescent="0.25">
      <c r="A1283" t="s">
        <v>44</v>
      </c>
    </row>
    <row r="1285" spans="1:1" x14ac:dyDescent="0.25">
      <c r="A1285" t="s">
        <v>96</v>
      </c>
    </row>
    <row r="1286" spans="1:1" x14ac:dyDescent="0.25">
      <c r="A1286" t="s">
        <v>33</v>
      </c>
    </row>
    <row r="1287" spans="1:1" x14ac:dyDescent="0.25">
      <c r="A1287" t="s">
        <v>218</v>
      </c>
    </row>
    <row r="1288" spans="1:1" x14ac:dyDescent="0.25">
      <c r="A1288" t="s">
        <v>97</v>
      </c>
    </row>
    <row r="1289" spans="1:1" x14ac:dyDescent="0.25">
      <c r="A1289" t="s">
        <v>294</v>
      </c>
    </row>
    <row r="1290" spans="1:1" x14ac:dyDescent="0.25">
      <c r="A1290" t="s">
        <v>44</v>
      </c>
    </row>
    <row r="1292" spans="1:1" x14ac:dyDescent="0.25">
      <c r="A1292" t="s">
        <v>99</v>
      </c>
    </row>
    <row r="1293" spans="1:1" x14ac:dyDescent="0.25">
      <c r="A1293" t="s">
        <v>33</v>
      </c>
    </row>
    <row r="1294" spans="1:1" x14ac:dyDescent="0.25">
      <c r="A1294" t="s">
        <v>218</v>
      </c>
    </row>
    <row r="1295" spans="1:1" x14ac:dyDescent="0.25">
      <c r="A1295" t="s">
        <v>92</v>
      </c>
    </row>
    <row r="1296" spans="1:1" x14ac:dyDescent="0.25">
      <c r="A1296" t="s">
        <v>220</v>
      </c>
    </row>
    <row r="1297" spans="1:1" x14ac:dyDescent="0.25">
      <c r="A1297" t="s">
        <v>44</v>
      </c>
    </row>
    <row r="1299" spans="1:1" x14ac:dyDescent="0.25">
      <c r="A1299" t="s">
        <v>160</v>
      </c>
    </row>
    <row r="1300" spans="1:1" x14ac:dyDescent="0.25">
      <c r="A1300" t="s">
        <v>33</v>
      </c>
    </row>
    <row r="1301" spans="1:1" x14ac:dyDescent="0.25">
      <c r="A1301" t="s">
        <v>218</v>
      </c>
    </row>
    <row r="1302" spans="1:1" x14ac:dyDescent="0.25">
      <c r="A1302" t="s">
        <v>176</v>
      </c>
    </row>
    <row r="1303" spans="1:1" x14ac:dyDescent="0.25">
      <c r="A1303" t="s">
        <v>234</v>
      </c>
    </row>
    <row r="1304" spans="1:1" x14ac:dyDescent="0.25">
      <c r="A1304" t="s">
        <v>44</v>
      </c>
    </row>
    <row r="1306" spans="1:1" x14ac:dyDescent="0.25">
      <c r="A1306" t="s">
        <v>166</v>
      </c>
    </row>
    <row r="1307" spans="1:1" x14ac:dyDescent="0.25">
      <c r="A1307" t="s">
        <v>33</v>
      </c>
    </row>
    <row r="1308" spans="1:1" x14ac:dyDescent="0.25">
      <c r="A1308" t="s">
        <v>218</v>
      </c>
    </row>
    <row r="1309" spans="1:1" x14ac:dyDescent="0.25">
      <c r="A1309" t="s">
        <v>181</v>
      </c>
    </row>
    <row r="1310" spans="1:1" x14ac:dyDescent="0.25">
      <c r="A1310" t="s">
        <v>198</v>
      </c>
    </row>
    <row r="1311" spans="1:1" x14ac:dyDescent="0.25">
      <c r="A1311" t="s">
        <v>44</v>
      </c>
    </row>
    <row r="1313" spans="1:1" x14ac:dyDescent="0.25">
      <c r="A1313" t="s">
        <v>170</v>
      </c>
    </row>
    <row r="1314" spans="1:1" x14ac:dyDescent="0.25">
      <c r="A1314" t="s">
        <v>33</v>
      </c>
    </row>
    <row r="1315" spans="1:1" x14ac:dyDescent="0.25">
      <c r="A1315" t="s">
        <v>218</v>
      </c>
    </row>
    <row r="1316" spans="1:1" x14ac:dyDescent="0.25">
      <c r="A1316" t="s">
        <v>185</v>
      </c>
    </row>
    <row r="1317" spans="1:1" x14ac:dyDescent="0.25">
      <c r="A1317" t="s">
        <v>169</v>
      </c>
    </row>
    <row r="1318" spans="1:1" x14ac:dyDescent="0.25">
      <c r="A1318" t="s">
        <v>44</v>
      </c>
    </row>
    <row r="1320" spans="1:1" x14ac:dyDescent="0.25">
      <c r="A1320" t="s">
        <v>175</v>
      </c>
    </row>
    <row r="1321" spans="1:1" x14ac:dyDescent="0.25">
      <c r="A1321" t="s">
        <v>33</v>
      </c>
    </row>
    <row r="1322" spans="1:1" x14ac:dyDescent="0.25">
      <c r="A1322" t="s">
        <v>218</v>
      </c>
    </row>
    <row r="1323" spans="1:1" x14ac:dyDescent="0.25">
      <c r="A1323" t="s">
        <v>191</v>
      </c>
    </row>
    <row r="1324" spans="1:1" x14ac:dyDescent="0.25">
      <c r="A1324" t="s">
        <v>255</v>
      </c>
    </row>
    <row r="1325" spans="1:1" x14ac:dyDescent="0.25">
      <c r="A1325" t="s">
        <v>44</v>
      </c>
    </row>
    <row r="1327" spans="1:1" x14ac:dyDescent="0.25">
      <c r="A1327" t="s">
        <v>180</v>
      </c>
    </row>
    <row r="1328" spans="1:1" x14ac:dyDescent="0.25">
      <c r="A1328" t="s">
        <v>33</v>
      </c>
    </row>
    <row r="1329" spans="1:1" x14ac:dyDescent="0.25">
      <c r="A1329" t="s">
        <v>218</v>
      </c>
    </row>
    <row r="1330" spans="1:1" x14ac:dyDescent="0.25">
      <c r="A1330" t="s">
        <v>196</v>
      </c>
    </row>
    <row r="1331" spans="1:1" x14ac:dyDescent="0.25">
      <c r="A1331" t="s">
        <v>203</v>
      </c>
    </row>
    <row r="1332" spans="1:1" x14ac:dyDescent="0.25">
      <c r="A1332" t="s">
        <v>44</v>
      </c>
    </row>
    <row r="1334" spans="1:1" x14ac:dyDescent="0.25">
      <c r="A1334" t="s">
        <v>44</v>
      </c>
    </row>
    <row r="1336" spans="1:1" x14ac:dyDescent="0.25">
      <c r="A1336" t="s">
        <v>44</v>
      </c>
    </row>
    <row r="1338" spans="1:1" x14ac:dyDescent="0.25">
      <c r="A1338" t="s">
        <v>99</v>
      </c>
    </row>
    <row r="1339" spans="1:1" x14ac:dyDescent="0.25">
      <c r="A1339" t="s">
        <v>33</v>
      </c>
    </row>
    <row r="1340" spans="1:1" x14ac:dyDescent="0.25">
      <c r="A1340" t="s">
        <v>295</v>
      </c>
    </row>
    <row r="1341" spans="1:1" x14ac:dyDescent="0.25">
      <c r="A1341" t="s">
        <v>210</v>
      </c>
    </row>
    <row r="1342" spans="1:1" x14ac:dyDescent="0.25">
      <c r="A1342" t="s">
        <v>33</v>
      </c>
    </row>
    <row r="1343" spans="1:1" x14ac:dyDescent="0.25">
      <c r="A1343" t="s">
        <v>296</v>
      </c>
    </row>
    <row r="1344" spans="1:1" x14ac:dyDescent="0.25">
      <c r="A1344" t="s">
        <v>297</v>
      </c>
    </row>
    <row r="1345" spans="1:1" x14ac:dyDescent="0.25">
      <c r="A1345" t="s">
        <v>298</v>
      </c>
    </row>
    <row r="1346" spans="1:1" x14ac:dyDescent="0.25">
      <c r="A1346" t="s">
        <v>299</v>
      </c>
    </row>
    <row r="1347" spans="1:1" x14ac:dyDescent="0.25">
      <c r="A1347" t="s">
        <v>300</v>
      </c>
    </row>
    <row r="1348" spans="1:1" x14ac:dyDescent="0.25">
      <c r="A1348" t="s">
        <v>301</v>
      </c>
    </row>
    <row r="1349" spans="1:1" x14ac:dyDescent="0.25">
      <c r="A1349" t="s">
        <v>44</v>
      </c>
    </row>
    <row r="1351" spans="1:1" x14ac:dyDescent="0.25">
      <c r="A1351" t="s">
        <v>217</v>
      </c>
    </row>
    <row r="1352" spans="1:1" x14ac:dyDescent="0.25">
      <c r="A1352" t="s">
        <v>33</v>
      </c>
    </row>
    <row r="1353" spans="1:1" x14ac:dyDescent="0.25">
      <c r="A1353" t="s">
        <v>88</v>
      </c>
    </row>
    <row r="1354" spans="1:1" x14ac:dyDescent="0.25">
      <c r="A1354" t="s">
        <v>33</v>
      </c>
    </row>
    <row r="1355" spans="1:1" x14ac:dyDescent="0.25">
      <c r="A1355" t="s">
        <v>218</v>
      </c>
    </row>
    <row r="1356" spans="1:1" x14ac:dyDescent="0.25">
      <c r="A1356" t="s">
        <v>113</v>
      </c>
    </row>
    <row r="1357" spans="1:1" x14ac:dyDescent="0.25">
      <c r="A1357" t="s">
        <v>302</v>
      </c>
    </row>
    <row r="1358" spans="1:1" x14ac:dyDescent="0.25">
      <c r="A1358" t="s">
        <v>44</v>
      </c>
    </row>
    <row r="1360" spans="1:1" x14ac:dyDescent="0.25">
      <c r="A1360" t="s">
        <v>91</v>
      </c>
    </row>
    <row r="1361" spans="1:1" x14ac:dyDescent="0.25">
      <c r="A1361" t="s">
        <v>33</v>
      </c>
    </row>
    <row r="1362" spans="1:1" x14ac:dyDescent="0.25">
      <c r="A1362" t="s">
        <v>219</v>
      </c>
    </row>
    <row r="1363" spans="1:1" x14ac:dyDescent="0.25">
      <c r="A1363" t="s">
        <v>126</v>
      </c>
    </row>
    <row r="1364" spans="1:1" x14ac:dyDescent="0.25">
      <c r="A1364" t="s">
        <v>290</v>
      </c>
    </row>
    <row r="1365" spans="1:1" x14ac:dyDescent="0.25">
      <c r="A1365" t="s">
        <v>44</v>
      </c>
    </row>
    <row r="1367" spans="1:1" x14ac:dyDescent="0.25">
      <c r="A1367" t="s">
        <v>94</v>
      </c>
    </row>
    <row r="1368" spans="1:1" x14ac:dyDescent="0.25">
      <c r="A1368" t="s">
        <v>33</v>
      </c>
    </row>
    <row r="1369" spans="1:1" x14ac:dyDescent="0.25">
      <c r="A1369" t="s">
        <v>219</v>
      </c>
    </row>
    <row r="1370" spans="1:1" x14ac:dyDescent="0.25">
      <c r="A1370" t="s">
        <v>89</v>
      </c>
    </row>
    <row r="1371" spans="1:1" x14ac:dyDescent="0.25">
      <c r="A1371" t="s">
        <v>303</v>
      </c>
    </row>
    <row r="1372" spans="1:1" x14ac:dyDescent="0.25">
      <c r="A1372" t="s">
        <v>44</v>
      </c>
    </row>
    <row r="1374" spans="1:1" x14ac:dyDescent="0.25">
      <c r="A1374" t="s">
        <v>96</v>
      </c>
    </row>
    <row r="1375" spans="1:1" x14ac:dyDescent="0.25">
      <c r="A1375" t="s">
        <v>33</v>
      </c>
    </row>
    <row r="1376" spans="1:1" x14ac:dyDescent="0.25">
      <c r="A1376" t="s">
        <v>222</v>
      </c>
    </row>
    <row r="1377" spans="1:1" x14ac:dyDescent="0.25">
      <c r="A1377" t="s">
        <v>89</v>
      </c>
    </row>
    <row r="1378" spans="1:1" x14ac:dyDescent="0.25">
      <c r="A1378" t="s">
        <v>304</v>
      </c>
    </row>
    <row r="1379" spans="1:1" x14ac:dyDescent="0.25">
      <c r="A1379" t="s">
        <v>44</v>
      </c>
    </row>
    <row r="1381" spans="1:1" x14ac:dyDescent="0.25">
      <c r="A1381" t="s">
        <v>44</v>
      </c>
    </row>
    <row r="1383" spans="1:1" x14ac:dyDescent="0.25">
      <c r="A1383" t="s">
        <v>224</v>
      </c>
    </row>
    <row r="1384" spans="1:1" x14ac:dyDescent="0.25">
      <c r="A1384" t="s">
        <v>33</v>
      </c>
    </row>
    <row r="1385" spans="1:1" x14ac:dyDescent="0.25">
      <c r="A1385" t="s">
        <v>88</v>
      </c>
    </row>
    <row r="1386" spans="1:1" x14ac:dyDescent="0.25">
      <c r="A1386" t="s">
        <v>33</v>
      </c>
    </row>
    <row r="1387" spans="1:1" x14ac:dyDescent="0.25">
      <c r="A1387" t="s">
        <v>218</v>
      </c>
    </row>
    <row r="1388" spans="1:1" x14ac:dyDescent="0.25">
      <c r="A1388" t="s">
        <v>113</v>
      </c>
    </row>
    <row r="1389" spans="1:1" x14ac:dyDescent="0.25">
      <c r="A1389" t="s">
        <v>101</v>
      </c>
    </row>
    <row r="1390" spans="1:1" x14ac:dyDescent="0.25">
      <c r="A1390" t="s">
        <v>44</v>
      </c>
    </row>
    <row r="1392" spans="1:1" x14ac:dyDescent="0.25">
      <c r="A1392" t="s">
        <v>91</v>
      </c>
    </row>
    <row r="1393" spans="1:1" x14ac:dyDescent="0.25">
      <c r="A1393" t="s">
        <v>33</v>
      </c>
    </row>
    <row r="1394" spans="1:1" x14ac:dyDescent="0.25">
      <c r="A1394" t="s">
        <v>219</v>
      </c>
    </row>
    <row r="1395" spans="1:1" x14ac:dyDescent="0.25">
      <c r="A1395" t="s">
        <v>126</v>
      </c>
    </row>
    <row r="1396" spans="1:1" x14ac:dyDescent="0.25">
      <c r="A1396" t="s">
        <v>203</v>
      </c>
    </row>
    <row r="1397" spans="1:1" x14ac:dyDescent="0.25">
      <c r="A1397" t="s">
        <v>44</v>
      </c>
    </row>
    <row r="1399" spans="1:1" x14ac:dyDescent="0.25">
      <c r="A1399" t="s">
        <v>94</v>
      </c>
    </row>
    <row r="1400" spans="1:1" x14ac:dyDescent="0.25">
      <c r="A1400" t="s">
        <v>33</v>
      </c>
    </row>
    <row r="1401" spans="1:1" x14ac:dyDescent="0.25">
      <c r="A1401" t="s">
        <v>219</v>
      </c>
    </row>
    <row r="1402" spans="1:1" x14ac:dyDescent="0.25">
      <c r="A1402" t="s">
        <v>89</v>
      </c>
    </row>
    <row r="1403" spans="1:1" x14ac:dyDescent="0.25">
      <c r="A1403" t="s">
        <v>254</v>
      </c>
    </row>
    <row r="1404" spans="1:1" x14ac:dyDescent="0.25">
      <c r="A1404" t="s">
        <v>44</v>
      </c>
    </row>
    <row r="1406" spans="1:1" x14ac:dyDescent="0.25">
      <c r="A1406" t="s">
        <v>96</v>
      </c>
    </row>
    <row r="1407" spans="1:1" x14ac:dyDescent="0.25">
      <c r="A1407" t="s">
        <v>33</v>
      </c>
    </row>
    <row r="1408" spans="1:1" x14ac:dyDescent="0.25">
      <c r="A1408" t="s">
        <v>222</v>
      </c>
    </row>
    <row r="1409" spans="1:1" x14ac:dyDescent="0.25">
      <c r="A1409" t="s">
        <v>89</v>
      </c>
    </row>
    <row r="1410" spans="1:1" x14ac:dyDescent="0.25">
      <c r="A1410" t="s">
        <v>231</v>
      </c>
    </row>
    <row r="1411" spans="1:1" x14ac:dyDescent="0.25">
      <c r="A1411" t="s">
        <v>44</v>
      </c>
    </row>
    <row r="1413" spans="1:1" x14ac:dyDescent="0.25">
      <c r="A1413" t="s">
        <v>44</v>
      </c>
    </row>
    <row r="1415" spans="1:1" x14ac:dyDescent="0.25">
      <c r="A1415" t="s">
        <v>227</v>
      </c>
    </row>
    <row r="1416" spans="1:1" x14ac:dyDescent="0.25">
      <c r="A1416" t="s">
        <v>33</v>
      </c>
    </row>
    <row r="1417" spans="1:1" x14ac:dyDescent="0.25">
      <c r="A1417" t="s">
        <v>88</v>
      </c>
    </row>
    <row r="1418" spans="1:1" x14ac:dyDescent="0.25">
      <c r="A1418" t="s">
        <v>33</v>
      </c>
    </row>
    <row r="1419" spans="1:1" x14ac:dyDescent="0.25">
      <c r="A1419" t="s">
        <v>218</v>
      </c>
    </row>
    <row r="1420" spans="1:1" x14ac:dyDescent="0.25">
      <c r="A1420" t="s">
        <v>95</v>
      </c>
    </row>
    <row r="1421" spans="1:1" x14ac:dyDescent="0.25">
      <c r="A1421" t="s">
        <v>274</v>
      </c>
    </row>
    <row r="1422" spans="1:1" x14ac:dyDescent="0.25">
      <c r="A1422" t="s">
        <v>44</v>
      </c>
    </row>
    <row r="1424" spans="1:1" x14ac:dyDescent="0.25">
      <c r="A1424" t="s">
        <v>91</v>
      </c>
    </row>
    <row r="1425" spans="1:1" x14ac:dyDescent="0.25">
      <c r="A1425" t="s">
        <v>33</v>
      </c>
    </row>
    <row r="1426" spans="1:1" x14ac:dyDescent="0.25">
      <c r="A1426" t="s">
        <v>218</v>
      </c>
    </row>
    <row r="1427" spans="1:1" x14ac:dyDescent="0.25">
      <c r="A1427" t="s">
        <v>89</v>
      </c>
    </row>
    <row r="1428" spans="1:1" x14ac:dyDescent="0.25">
      <c r="A1428" t="s">
        <v>274</v>
      </c>
    </row>
    <row r="1429" spans="1:1" x14ac:dyDescent="0.25">
      <c r="A1429" t="s">
        <v>44</v>
      </c>
    </row>
    <row r="1431" spans="1:1" x14ac:dyDescent="0.25">
      <c r="A1431" t="s">
        <v>94</v>
      </c>
    </row>
    <row r="1432" spans="1:1" x14ac:dyDescent="0.25">
      <c r="A1432" t="s">
        <v>33</v>
      </c>
    </row>
    <row r="1433" spans="1:1" x14ac:dyDescent="0.25">
      <c r="A1433" t="s">
        <v>218</v>
      </c>
    </row>
    <row r="1434" spans="1:1" x14ac:dyDescent="0.25">
      <c r="A1434" t="s">
        <v>149</v>
      </c>
    </row>
    <row r="1435" spans="1:1" x14ac:dyDescent="0.25">
      <c r="A1435" t="s">
        <v>274</v>
      </c>
    </row>
    <row r="1436" spans="1:1" x14ac:dyDescent="0.25">
      <c r="A1436" t="s">
        <v>44</v>
      </c>
    </row>
    <row r="1438" spans="1:1" x14ac:dyDescent="0.25">
      <c r="A1438" t="s">
        <v>96</v>
      </c>
    </row>
    <row r="1439" spans="1:1" x14ac:dyDescent="0.25">
      <c r="A1439" t="s">
        <v>33</v>
      </c>
    </row>
    <row r="1440" spans="1:1" x14ac:dyDescent="0.25">
      <c r="A1440" t="s">
        <v>218</v>
      </c>
    </row>
    <row r="1441" spans="1:1" x14ac:dyDescent="0.25">
      <c r="A1441" t="s">
        <v>97</v>
      </c>
    </row>
    <row r="1442" spans="1:1" x14ac:dyDescent="0.25">
      <c r="A1442" t="s">
        <v>305</v>
      </c>
    </row>
    <row r="1443" spans="1:1" x14ac:dyDescent="0.25">
      <c r="A1443" t="s">
        <v>44</v>
      </c>
    </row>
    <row r="1445" spans="1:1" x14ac:dyDescent="0.25">
      <c r="A1445" t="s">
        <v>99</v>
      </c>
    </row>
    <row r="1446" spans="1:1" x14ac:dyDescent="0.25">
      <c r="A1446" t="s">
        <v>33</v>
      </c>
    </row>
    <row r="1447" spans="1:1" x14ac:dyDescent="0.25">
      <c r="A1447" t="s">
        <v>218</v>
      </c>
    </row>
    <row r="1448" spans="1:1" x14ac:dyDescent="0.25">
      <c r="A1448" t="s">
        <v>92</v>
      </c>
    </row>
    <row r="1449" spans="1:1" x14ac:dyDescent="0.25">
      <c r="A1449" t="s">
        <v>274</v>
      </c>
    </row>
    <row r="1450" spans="1:1" x14ac:dyDescent="0.25">
      <c r="A1450" t="s">
        <v>44</v>
      </c>
    </row>
    <row r="1452" spans="1:1" x14ac:dyDescent="0.25">
      <c r="A1452" t="s">
        <v>160</v>
      </c>
    </row>
    <row r="1453" spans="1:1" x14ac:dyDescent="0.25">
      <c r="A1453" t="s">
        <v>33</v>
      </c>
    </row>
    <row r="1454" spans="1:1" x14ac:dyDescent="0.25">
      <c r="A1454" t="s">
        <v>218</v>
      </c>
    </row>
    <row r="1455" spans="1:1" x14ac:dyDescent="0.25">
      <c r="A1455" t="s">
        <v>161</v>
      </c>
    </row>
    <row r="1456" spans="1:1" x14ac:dyDescent="0.25">
      <c r="A1456" t="s">
        <v>274</v>
      </c>
    </row>
    <row r="1457" spans="1:1" x14ac:dyDescent="0.25">
      <c r="A1457" t="s">
        <v>44</v>
      </c>
    </row>
    <row r="1459" spans="1:1" x14ac:dyDescent="0.25">
      <c r="A1459" t="s">
        <v>166</v>
      </c>
    </row>
    <row r="1460" spans="1:1" x14ac:dyDescent="0.25">
      <c r="A1460" t="s">
        <v>33</v>
      </c>
    </row>
    <row r="1461" spans="1:1" x14ac:dyDescent="0.25">
      <c r="A1461" t="s">
        <v>218</v>
      </c>
    </row>
    <row r="1462" spans="1:1" x14ac:dyDescent="0.25">
      <c r="A1462" t="s">
        <v>100</v>
      </c>
    </row>
    <row r="1463" spans="1:1" x14ac:dyDescent="0.25">
      <c r="A1463" t="s">
        <v>169</v>
      </c>
    </row>
    <row r="1464" spans="1:1" x14ac:dyDescent="0.25">
      <c r="A1464" t="s">
        <v>44</v>
      </c>
    </row>
    <row r="1466" spans="1:1" x14ac:dyDescent="0.25">
      <c r="A1466" t="s">
        <v>170</v>
      </c>
    </row>
    <row r="1467" spans="1:1" x14ac:dyDescent="0.25">
      <c r="A1467" t="s">
        <v>33</v>
      </c>
    </row>
    <row r="1468" spans="1:1" x14ac:dyDescent="0.25">
      <c r="A1468" t="s">
        <v>218</v>
      </c>
    </row>
    <row r="1469" spans="1:1" x14ac:dyDescent="0.25">
      <c r="A1469" t="s">
        <v>171</v>
      </c>
    </row>
    <row r="1470" spans="1:1" x14ac:dyDescent="0.25">
      <c r="A1470" t="s">
        <v>274</v>
      </c>
    </row>
    <row r="1471" spans="1:1" x14ac:dyDescent="0.25">
      <c r="A1471" t="s">
        <v>44</v>
      </c>
    </row>
    <row r="1473" spans="1:1" x14ac:dyDescent="0.25">
      <c r="A1473" t="s">
        <v>175</v>
      </c>
    </row>
    <row r="1474" spans="1:1" x14ac:dyDescent="0.25">
      <c r="A1474" t="s">
        <v>33</v>
      </c>
    </row>
    <row r="1475" spans="1:1" x14ac:dyDescent="0.25">
      <c r="A1475" t="s">
        <v>218</v>
      </c>
    </row>
    <row r="1476" spans="1:1" x14ac:dyDescent="0.25">
      <c r="A1476" t="s">
        <v>176</v>
      </c>
    </row>
    <row r="1477" spans="1:1" x14ac:dyDescent="0.25">
      <c r="A1477" t="s">
        <v>274</v>
      </c>
    </row>
    <row r="1478" spans="1:1" x14ac:dyDescent="0.25">
      <c r="A1478" t="s">
        <v>44</v>
      </c>
    </row>
    <row r="1480" spans="1:1" x14ac:dyDescent="0.25">
      <c r="A1480" t="s">
        <v>180</v>
      </c>
    </row>
    <row r="1481" spans="1:1" x14ac:dyDescent="0.25">
      <c r="A1481" t="s">
        <v>33</v>
      </c>
    </row>
    <row r="1482" spans="1:1" x14ac:dyDescent="0.25">
      <c r="A1482" t="s">
        <v>218</v>
      </c>
    </row>
    <row r="1483" spans="1:1" x14ac:dyDescent="0.25">
      <c r="A1483" t="s">
        <v>181</v>
      </c>
    </row>
    <row r="1484" spans="1:1" x14ac:dyDescent="0.25">
      <c r="A1484" t="s">
        <v>274</v>
      </c>
    </row>
    <row r="1485" spans="1:1" x14ac:dyDescent="0.25">
      <c r="A1485" t="s">
        <v>44</v>
      </c>
    </row>
    <row r="1487" spans="1:1" x14ac:dyDescent="0.25">
      <c r="A1487" t="s">
        <v>184</v>
      </c>
    </row>
    <row r="1488" spans="1:1" x14ac:dyDescent="0.25">
      <c r="A1488" t="s">
        <v>33</v>
      </c>
    </row>
    <row r="1489" spans="1:1" x14ac:dyDescent="0.25">
      <c r="A1489" t="s">
        <v>218</v>
      </c>
    </row>
    <row r="1490" spans="1:1" x14ac:dyDescent="0.25">
      <c r="A1490" t="s">
        <v>185</v>
      </c>
    </row>
    <row r="1491" spans="1:1" x14ac:dyDescent="0.25">
      <c r="A1491" t="s">
        <v>274</v>
      </c>
    </row>
    <row r="1492" spans="1:1" x14ac:dyDescent="0.25">
      <c r="A1492" t="s">
        <v>44</v>
      </c>
    </row>
    <row r="1494" spans="1:1" x14ac:dyDescent="0.25">
      <c r="A1494" t="s">
        <v>190</v>
      </c>
    </row>
    <row r="1495" spans="1:1" x14ac:dyDescent="0.25">
      <c r="A1495" t="s">
        <v>33</v>
      </c>
    </row>
    <row r="1496" spans="1:1" x14ac:dyDescent="0.25">
      <c r="A1496" t="s">
        <v>218</v>
      </c>
    </row>
    <row r="1497" spans="1:1" x14ac:dyDescent="0.25">
      <c r="A1497" t="s">
        <v>191</v>
      </c>
    </row>
    <row r="1498" spans="1:1" x14ac:dyDescent="0.25">
      <c r="A1498" t="s">
        <v>203</v>
      </c>
    </row>
    <row r="1499" spans="1:1" x14ac:dyDescent="0.25">
      <c r="A1499" t="s">
        <v>44</v>
      </c>
    </row>
    <row r="1501" spans="1:1" x14ac:dyDescent="0.25">
      <c r="A1501" t="s">
        <v>195</v>
      </c>
    </row>
    <row r="1502" spans="1:1" x14ac:dyDescent="0.25">
      <c r="A1502" t="s">
        <v>33</v>
      </c>
    </row>
    <row r="1503" spans="1:1" x14ac:dyDescent="0.25">
      <c r="A1503" t="s">
        <v>218</v>
      </c>
    </row>
    <row r="1504" spans="1:1" x14ac:dyDescent="0.25">
      <c r="A1504" t="s">
        <v>196</v>
      </c>
    </row>
    <row r="1505" spans="1:1" x14ac:dyDescent="0.25">
      <c r="A1505" t="s">
        <v>274</v>
      </c>
    </row>
    <row r="1506" spans="1:1" x14ac:dyDescent="0.25">
      <c r="A1506" t="s">
        <v>44</v>
      </c>
    </row>
    <row r="1508" spans="1:1" x14ac:dyDescent="0.25">
      <c r="A1508" t="s">
        <v>199</v>
      </c>
    </row>
    <row r="1509" spans="1:1" x14ac:dyDescent="0.25">
      <c r="A1509" t="s">
        <v>33</v>
      </c>
    </row>
    <row r="1510" spans="1:1" x14ac:dyDescent="0.25">
      <c r="A1510" t="s">
        <v>218</v>
      </c>
    </row>
    <row r="1511" spans="1:1" x14ac:dyDescent="0.25">
      <c r="A1511" t="s">
        <v>200</v>
      </c>
    </row>
    <row r="1512" spans="1:1" x14ac:dyDescent="0.25">
      <c r="A1512" t="s">
        <v>203</v>
      </c>
    </row>
    <row r="1513" spans="1:1" x14ac:dyDescent="0.25">
      <c r="A1513" t="s">
        <v>44</v>
      </c>
    </row>
    <row r="1515" spans="1:1" x14ac:dyDescent="0.25">
      <c r="A1515" t="s">
        <v>204</v>
      </c>
    </row>
    <row r="1516" spans="1:1" x14ac:dyDescent="0.25">
      <c r="A1516" t="s">
        <v>33</v>
      </c>
    </row>
    <row r="1517" spans="1:1" x14ac:dyDescent="0.25">
      <c r="A1517" t="s">
        <v>218</v>
      </c>
    </row>
    <row r="1518" spans="1:1" x14ac:dyDescent="0.25">
      <c r="A1518" t="s">
        <v>205</v>
      </c>
    </row>
    <row r="1519" spans="1:1" x14ac:dyDescent="0.25">
      <c r="A1519" t="s">
        <v>203</v>
      </c>
    </row>
    <row r="1520" spans="1:1" x14ac:dyDescent="0.25">
      <c r="A1520" t="s">
        <v>44</v>
      </c>
    </row>
    <row r="1522" spans="1:1" x14ac:dyDescent="0.25">
      <c r="A1522" t="s">
        <v>44</v>
      </c>
    </row>
    <row r="1524" spans="1:1" x14ac:dyDescent="0.25">
      <c r="A1524" t="s">
        <v>235</v>
      </c>
    </row>
    <row r="1525" spans="1:1" x14ac:dyDescent="0.25">
      <c r="A1525" t="s">
        <v>33</v>
      </c>
    </row>
    <row r="1526" spans="1:1" x14ac:dyDescent="0.25">
      <c r="A1526" t="s">
        <v>88</v>
      </c>
    </row>
    <row r="1527" spans="1:1" x14ac:dyDescent="0.25">
      <c r="A1527" t="s">
        <v>33</v>
      </c>
    </row>
    <row r="1528" spans="1:1" x14ac:dyDescent="0.25">
      <c r="A1528" t="s">
        <v>218</v>
      </c>
    </row>
    <row r="1529" spans="1:1" x14ac:dyDescent="0.25">
      <c r="A1529" t="s">
        <v>95</v>
      </c>
    </row>
    <row r="1530" spans="1:1" x14ac:dyDescent="0.25">
      <c r="A1530" t="s">
        <v>288</v>
      </c>
    </row>
    <row r="1531" spans="1:1" x14ac:dyDescent="0.25">
      <c r="A1531" t="s">
        <v>44</v>
      </c>
    </row>
    <row r="1533" spans="1:1" x14ac:dyDescent="0.25">
      <c r="A1533" t="s">
        <v>91</v>
      </c>
    </row>
    <row r="1534" spans="1:1" x14ac:dyDescent="0.25">
      <c r="A1534" t="s">
        <v>33</v>
      </c>
    </row>
    <row r="1535" spans="1:1" x14ac:dyDescent="0.25">
      <c r="A1535" t="s">
        <v>218</v>
      </c>
    </row>
    <row r="1536" spans="1:1" x14ac:dyDescent="0.25">
      <c r="A1536" t="s">
        <v>149</v>
      </c>
    </row>
    <row r="1537" spans="1:1" x14ac:dyDescent="0.25">
      <c r="A1537" t="s">
        <v>101</v>
      </c>
    </row>
    <row r="1538" spans="1:1" x14ac:dyDescent="0.25">
      <c r="A1538" t="s">
        <v>44</v>
      </c>
    </row>
    <row r="1540" spans="1:1" x14ac:dyDescent="0.25">
      <c r="A1540" t="s">
        <v>94</v>
      </c>
    </row>
    <row r="1541" spans="1:1" x14ac:dyDescent="0.25">
      <c r="A1541" t="s">
        <v>33</v>
      </c>
    </row>
    <row r="1542" spans="1:1" x14ac:dyDescent="0.25">
      <c r="A1542" t="s">
        <v>218</v>
      </c>
    </row>
    <row r="1543" spans="1:1" x14ac:dyDescent="0.25">
      <c r="A1543" t="s">
        <v>97</v>
      </c>
    </row>
    <row r="1544" spans="1:1" x14ac:dyDescent="0.25">
      <c r="A1544" t="s">
        <v>305</v>
      </c>
    </row>
    <row r="1545" spans="1:1" x14ac:dyDescent="0.25">
      <c r="A1545" t="s">
        <v>44</v>
      </c>
    </row>
    <row r="1547" spans="1:1" x14ac:dyDescent="0.25">
      <c r="A1547" t="s">
        <v>96</v>
      </c>
    </row>
    <row r="1548" spans="1:1" x14ac:dyDescent="0.25">
      <c r="A1548" t="s">
        <v>33</v>
      </c>
    </row>
    <row r="1549" spans="1:1" x14ac:dyDescent="0.25">
      <c r="A1549" t="s">
        <v>218</v>
      </c>
    </row>
    <row r="1550" spans="1:1" x14ac:dyDescent="0.25">
      <c r="A1550" t="s">
        <v>92</v>
      </c>
    </row>
    <row r="1551" spans="1:1" x14ac:dyDescent="0.25">
      <c r="A1551" t="s">
        <v>290</v>
      </c>
    </row>
    <row r="1552" spans="1:1" x14ac:dyDescent="0.25">
      <c r="A1552" t="s">
        <v>44</v>
      </c>
    </row>
    <row r="1554" spans="1:1" x14ac:dyDescent="0.25">
      <c r="A1554" t="s">
        <v>99</v>
      </c>
    </row>
    <row r="1555" spans="1:1" x14ac:dyDescent="0.25">
      <c r="A1555" t="s">
        <v>33</v>
      </c>
    </row>
    <row r="1556" spans="1:1" x14ac:dyDescent="0.25">
      <c r="A1556" t="s">
        <v>218</v>
      </c>
    </row>
    <row r="1557" spans="1:1" x14ac:dyDescent="0.25">
      <c r="A1557" t="s">
        <v>185</v>
      </c>
    </row>
    <row r="1558" spans="1:1" x14ac:dyDescent="0.25">
      <c r="A1558" t="s">
        <v>291</v>
      </c>
    </row>
    <row r="1559" spans="1:1" x14ac:dyDescent="0.25">
      <c r="A1559" t="s">
        <v>44</v>
      </c>
    </row>
    <row r="1561" spans="1:1" x14ac:dyDescent="0.25">
      <c r="A1561" t="s">
        <v>160</v>
      </c>
    </row>
    <row r="1562" spans="1:1" x14ac:dyDescent="0.25">
      <c r="A1562" t="s">
        <v>33</v>
      </c>
    </row>
    <row r="1563" spans="1:1" x14ac:dyDescent="0.25">
      <c r="A1563" t="s">
        <v>218</v>
      </c>
    </row>
    <row r="1564" spans="1:1" x14ac:dyDescent="0.25">
      <c r="A1564" t="s">
        <v>191</v>
      </c>
    </row>
    <row r="1565" spans="1:1" x14ac:dyDescent="0.25">
      <c r="A1565" t="s">
        <v>230</v>
      </c>
    </row>
    <row r="1566" spans="1:1" x14ac:dyDescent="0.25">
      <c r="A1566" t="s">
        <v>44</v>
      </c>
    </row>
    <row r="1568" spans="1:1" x14ac:dyDescent="0.25">
      <c r="A1568" t="s">
        <v>166</v>
      </c>
    </row>
    <row r="1569" spans="1:1" x14ac:dyDescent="0.25">
      <c r="A1569" t="s">
        <v>33</v>
      </c>
    </row>
    <row r="1570" spans="1:1" x14ac:dyDescent="0.25">
      <c r="A1570" t="s">
        <v>218</v>
      </c>
    </row>
    <row r="1571" spans="1:1" x14ac:dyDescent="0.25">
      <c r="A1571" t="s">
        <v>196</v>
      </c>
    </row>
    <row r="1572" spans="1:1" x14ac:dyDescent="0.25">
      <c r="A1572" t="s">
        <v>255</v>
      </c>
    </row>
    <row r="1573" spans="1:1" x14ac:dyDescent="0.25">
      <c r="A1573" t="s">
        <v>44</v>
      </c>
    </row>
    <row r="1575" spans="1:1" x14ac:dyDescent="0.25">
      <c r="A1575" t="s">
        <v>44</v>
      </c>
    </row>
    <row r="1577" spans="1:1" x14ac:dyDescent="0.25">
      <c r="A1577" t="s">
        <v>44</v>
      </c>
    </row>
    <row r="1579" spans="1:1" x14ac:dyDescent="0.25">
      <c r="A1579" t="s">
        <v>160</v>
      </c>
    </row>
    <row r="1580" spans="1:1" x14ac:dyDescent="0.25">
      <c r="A1580" t="s">
        <v>33</v>
      </c>
    </row>
    <row r="1581" spans="1:1" x14ac:dyDescent="0.25">
      <c r="A1581" t="s">
        <v>306</v>
      </c>
    </row>
    <row r="1582" spans="1:1" x14ac:dyDescent="0.25">
      <c r="A1582" t="s">
        <v>210</v>
      </c>
    </row>
    <row r="1583" spans="1:1" x14ac:dyDescent="0.25">
      <c r="A1583" t="s">
        <v>33</v>
      </c>
    </row>
    <row r="1584" spans="1:1" x14ac:dyDescent="0.25">
      <c r="A1584" t="s">
        <v>307</v>
      </c>
    </row>
    <row r="1585" spans="1:1" x14ac:dyDescent="0.25">
      <c r="A1585" t="s">
        <v>308</v>
      </c>
    </row>
    <row r="1586" spans="1:1" x14ac:dyDescent="0.25">
      <c r="A1586" t="s">
        <v>309</v>
      </c>
    </row>
    <row r="1587" spans="1:1" x14ac:dyDescent="0.25">
      <c r="A1587" t="s">
        <v>310</v>
      </c>
    </row>
    <row r="1588" spans="1:1" x14ac:dyDescent="0.25">
      <c r="A1588" t="s">
        <v>311</v>
      </c>
    </row>
    <row r="1589" spans="1:1" x14ac:dyDescent="0.25">
      <c r="A1589" t="s">
        <v>312</v>
      </c>
    </row>
    <row r="1590" spans="1:1" x14ac:dyDescent="0.25">
      <c r="A1590" t="s">
        <v>44</v>
      </c>
    </row>
    <row r="1592" spans="1:1" x14ac:dyDescent="0.25">
      <c r="A1592" t="s">
        <v>217</v>
      </c>
    </row>
    <row r="1593" spans="1:1" x14ac:dyDescent="0.25">
      <c r="A1593" t="s">
        <v>33</v>
      </c>
    </row>
    <row r="1594" spans="1:1" x14ac:dyDescent="0.25">
      <c r="A1594" t="s">
        <v>88</v>
      </c>
    </row>
    <row r="1595" spans="1:1" x14ac:dyDescent="0.25">
      <c r="A1595" t="s">
        <v>33</v>
      </c>
    </row>
    <row r="1596" spans="1:1" x14ac:dyDescent="0.25">
      <c r="A1596" t="s">
        <v>218</v>
      </c>
    </row>
    <row r="1597" spans="1:1" x14ac:dyDescent="0.25">
      <c r="A1597" t="s">
        <v>113</v>
      </c>
    </row>
    <row r="1598" spans="1:1" x14ac:dyDescent="0.25">
      <c r="A1598" t="s">
        <v>302</v>
      </c>
    </row>
    <row r="1599" spans="1:1" x14ac:dyDescent="0.25">
      <c r="A1599" t="s">
        <v>44</v>
      </c>
    </row>
    <row r="1601" spans="1:1" x14ac:dyDescent="0.25">
      <c r="A1601" t="s">
        <v>91</v>
      </c>
    </row>
    <row r="1602" spans="1:1" x14ac:dyDescent="0.25">
      <c r="A1602" t="s">
        <v>33</v>
      </c>
    </row>
    <row r="1603" spans="1:1" x14ac:dyDescent="0.25">
      <c r="A1603" t="s">
        <v>219</v>
      </c>
    </row>
    <row r="1604" spans="1:1" x14ac:dyDescent="0.25">
      <c r="A1604" t="s">
        <v>126</v>
      </c>
    </row>
    <row r="1605" spans="1:1" x14ac:dyDescent="0.25">
      <c r="A1605" t="s">
        <v>290</v>
      </c>
    </row>
    <row r="1606" spans="1:1" x14ac:dyDescent="0.25">
      <c r="A1606" t="s">
        <v>44</v>
      </c>
    </row>
    <row r="1608" spans="1:1" x14ac:dyDescent="0.25">
      <c r="A1608" t="s">
        <v>94</v>
      </c>
    </row>
    <row r="1609" spans="1:1" x14ac:dyDescent="0.25">
      <c r="A1609" t="s">
        <v>33</v>
      </c>
    </row>
    <row r="1610" spans="1:1" x14ac:dyDescent="0.25">
      <c r="A1610" t="s">
        <v>219</v>
      </c>
    </row>
    <row r="1611" spans="1:1" x14ac:dyDescent="0.25">
      <c r="A1611" t="s">
        <v>89</v>
      </c>
    </row>
    <row r="1612" spans="1:1" x14ac:dyDescent="0.25">
      <c r="A1612" t="s">
        <v>313</v>
      </c>
    </row>
    <row r="1613" spans="1:1" x14ac:dyDescent="0.25">
      <c r="A1613" t="s">
        <v>44</v>
      </c>
    </row>
    <row r="1615" spans="1:1" x14ac:dyDescent="0.25">
      <c r="A1615" t="s">
        <v>96</v>
      </c>
    </row>
    <row r="1616" spans="1:1" x14ac:dyDescent="0.25">
      <c r="A1616" t="s">
        <v>33</v>
      </c>
    </row>
    <row r="1617" spans="1:1" x14ac:dyDescent="0.25">
      <c r="A1617" t="s">
        <v>222</v>
      </c>
    </row>
    <row r="1618" spans="1:1" x14ac:dyDescent="0.25">
      <c r="A1618" t="s">
        <v>89</v>
      </c>
    </row>
    <row r="1619" spans="1:1" x14ac:dyDescent="0.25">
      <c r="A1619" t="s">
        <v>314</v>
      </c>
    </row>
    <row r="1620" spans="1:1" x14ac:dyDescent="0.25">
      <c r="A1620" t="s">
        <v>44</v>
      </c>
    </row>
    <row r="1622" spans="1:1" x14ac:dyDescent="0.25">
      <c r="A1622" t="s">
        <v>44</v>
      </c>
    </row>
    <row r="1624" spans="1:1" x14ac:dyDescent="0.25">
      <c r="A1624" t="s">
        <v>224</v>
      </c>
    </row>
    <row r="1625" spans="1:1" x14ac:dyDescent="0.25">
      <c r="A1625" t="s">
        <v>33</v>
      </c>
    </row>
    <row r="1626" spans="1:1" x14ac:dyDescent="0.25">
      <c r="A1626" t="s">
        <v>88</v>
      </c>
    </row>
    <row r="1627" spans="1:1" x14ac:dyDescent="0.25">
      <c r="A1627" t="s">
        <v>33</v>
      </c>
    </row>
    <row r="1628" spans="1:1" x14ac:dyDescent="0.25">
      <c r="A1628" t="s">
        <v>219</v>
      </c>
    </row>
    <row r="1629" spans="1:1" x14ac:dyDescent="0.25">
      <c r="A1629" t="s">
        <v>89</v>
      </c>
    </row>
    <row r="1630" spans="1:1" x14ac:dyDescent="0.25">
      <c r="A1630" t="s">
        <v>130</v>
      </c>
    </row>
    <row r="1631" spans="1:1" x14ac:dyDescent="0.25">
      <c r="A1631" t="s">
        <v>44</v>
      </c>
    </row>
    <row r="1633" spans="1:1" x14ac:dyDescent="0.25">
      <c r="A1633" t="s">
        <v>91</v>
      </c>
    </row>
    <row r="1634" spans="1:1" x14ac:dyDescent="0.25">
      <c r="A1634" t="s">
        <v>33</v>
      </c>
    </row>
    <row r="1635" spans="1:1" x14ac:dyDescent="0.25">
      <c r="A1635" t="s">
        <v>222</v>
      </c>
    </row>
    <row r="1636" spans="1:1" x14ac:dyDescent="0.25">
      <c r="A1636" t="s">
        <v>89</v>
      </c>
    </row>
    <row r="1637" spans="1:1" x14ac:dyDescent="0.25">
      <c r="A1637" t="s">
        <v>291</v>
      </c>
    </row>
    <row r="1638" spans="1:1" x14ac:dyDescent="0.25">
      <c r="A1638" t="s">
        <v>44</v>
      </c>
    </row>
    <row r="1640" spans="1:1" x14ac:dyDescent="0.25">
      <c r="A1640" t="s">
        <v>44</v>
      </c>
    </row>
    <row r="1642" spans="1:1" x14ac:dyDescent="0.25">
      <c r="A1642" t="s">
        <v>227</v>
      </c>
    </row>
    <row r="1643" spans="1:1" x14ac:dyDescent="0.25">
      <c r="A1643" t="s">
        <v>33</v>
      </c>
    </row>
    <row r="1644" spans="1:1" x14ac:dyDescent="0.25">
      <c r="A1644" t="s">
        <v>88</v>
      </c>
    </row>
    <row r="1645" spans="1:1" x14ac:dyDescent="0.25">
      <c r="A1645" t="s">
        <v>33</v>
      </c>
    </row>
    <row r="1646" spans="1:1" x14ac:dyDescent="0.25">
      <c r="A1646" t="s">
        <v>218</v>
      </c>
    </row>
    <row r="1647" spans="1:1" x14ac:dyDescent="0.25">
      <c r="A1647" t="s">
        <v>95</v>
      </c>
    </row>
    <row r="1648" spans="1:1" x14ac:dyDescent="0.25">
      <c r="A1648" t="s">
        <v>274</v>
      </c>
    </row>
    <row r="1649" spans="1:1" x14ac:dyDescent="0.25">
      <c r="A1649" t="s">
        <v>44</v>
      </c>
    </row>
    <row r="1651" spans="1:1" x14ac:dyDescent="0.25">
      <c r="A1651" t="s">
        <v>91</v>
      </c>
    </row>
    <row r="1652" spans="1:1" x14ac:dyDescent="0.25">
      <c r="A1652" t="s">
        <v>33</v>
      </c>
    </row>
    <row r="1653" spans="1:1" x14ac:dyDescent="0.25">
      <c r="A1653" t="s">
        <v>218</v>
      </c>
    </row>
    <row r="1654" spans="1:1" x14ac:dyDescent="0.25">
      <c r="A1654" t="s">
        <v>89</v>
      </c>
    </row>
    <row r="1655" spans="1:1" x14ac:dyDescent="0.25">
      <c r="A1655" t="s">
        <v>274</v>
      </c>
    </row>
    <row r="1656" spans="1:1" x14ac:dyDescent="0.25">
      <c r="A1656" t="s">
        <v>44</v>
      </c>
    </row>
    <row r="1658" spans="1:1" x14ac:dyDescent="0.25">
      <c r="A1658" t="s">
        <v>94</v>
      </c>
    </row>
    <row r="1659" spans="1:1" x14ac:dyDescent="0.25">
      <c r="A1659" t="s">
        <v>33</v>
      </c>
    </row>
    <row r="1660" spans="1:1" x14ac:dyDescent="0.25">
      <c r="A1660" t="s">
        <v>218</v>
      </c>
    </row>
    <row r="1661" spans="1:1" x14ac:dyDescent="0.25">
      <c r="A1661" t="s">
        <v>149</v>
      </c>
    </row>
    <row r="1662" spans="1:1" x14ac:dyDescent="0.25">
      <c r="A1662" t="s">
        <v>274</v>
      </c>
    </row>
    <row r="1663" spans="1:1" x14ac:dyDescent="0.25">
      <c r="A1663" t="s">
        <v>44</v>
      </c>
    </row>
    <row r="1665" spans="1:1" x14ac:dyDescent="0.25">
      <c r="A1665" t="s">
        <v>96</v>
      </c>
    </row>
    <row r="1666" spans="1:1" x14ac:dyDescent="0.25">
      <c r="A1666" t="s">
        <v>33</v>
      </c>
    </row>
    <row r="1667" spans="1:1" x14ac:dyDescent="0.25">
      <c r="A1667" t="s">
        <v>218</v>
      </c>
    </row>
    <row r="1668" spans="1:1" x14ac:dyDescent="0.25">
      <c r="A1668" t="s">
        <v>97</v>
      </c>
    </row>
    <row r="1669" spans="1:1" x14ac:dyDescent="0.25">
      <c r="A1669" t="s">
        <v>274</v>
      </c>
    </row>
    <row r="1670" spans="1:1" x14ac:dyDescent="0.25">
      <c r="A1670" t="s">
        <v>44</v>
      </c>
    </row>
    <row r="1672" spans="1:1" x14ac:dyDescent="0.25">
      <c r="A1672" t="s">
        <v>99</v>
      </c>
    </row>
    <row r="1673" spans="1:1" x14ac:dyDescent="0.25">
      <c r="A1673" t="s">
        <v>33</v>
      </c>
    </row>
    <row r="1674" spans="1:1" x14ac:dyDescent="0.25">
      <c r="A1674" t="s">
        <v>218</v>
      </c>
    </row>
    <row r="1675" spans="1:1" x14ac:dyDescent="0.25">
      <c r="A1675" t="s">
        <v>92</v>
      </c>
    </row>
    <row r="1676" spans="1:1" x14ac:dyDescent="0.25">
      <c r="A1676" t="s">
        <v>274</v>
      </c>
    </row>
    <row r="1677" spans="1:1" x14ac:dyDescent="0.25">
      <c r="A1677" t="s">
        <v>44</v>
      </c>
    </row>
    <row r="1679" spans="1:1" x14ac:dyDescent="0.25">
      <c r="A1679" t="s">
        <v>160</v>
      </c>
    </row>
    <row r="1680" spans="1:1" x14ac:dyDescent="0.25">
      <c r="A1680" t="s">
        <v>33</v>
      </c>
    </row>
    <row r="1681" spans="1:1" x14ac:dyDescent="0.25">
      <c r="A1681" t="s">
        <v>218</v>
      </c>
    </row>
    <row r="1682" spans="1:1" x14ac:dyDescent="0.25">
      <c r="A1682" t="s">
        <v>161</v>
      </c>
    </row>
    <row r="1683" spans="1:1" x14ac:dyDescent="0.25">
      <c r="A1683" t="s">
        <v>274</v>
      </c>
    </row>
    <row r="1684" spans="1:1" x14ac:dyDescent="0.25">
      <c r="A1684" t="s">
        <v>44</v>
      </c>
    </row>
    <row r="1686" spans="1:1" x14ac:dyDescent="0.25">
      <c r="A1686" t="s">
        <v>166</v>
      </c>
    </row>
    <row r="1687" spans="1:1" x14ac:dyDescent="0.25">
      <c r="A1687" t="s">
        <v>33</v>
      </c>
    </row>
    <row r="1688" spans="1:1" x14ac:dyDescent="0.25">
      <c r="A1688" t="s">
        <v>218</v>
      </c>
    </row>
    <row r="1689" spans="1:1" x14ac:dyDescent="0.25">
      <c r="A1689" t="s">
        <v>100</v>
      </c>
    </row>
    <row r="1690" spans="1:1" x14ac:dyDescent="0.25">
      <c r="A1690" t="s">
        <v>274</v>
      </c>
    </row>
    <row r="1691" spans="1:1" x14ac:dyDescent="0.25">
      <c r="A1691" t="s">
        <v>44</v>
      </c>
    </row>
    <row r="1693" spans="1:1" x14ac:dyDescent="0.25">
      <c r="A1693" t="s">
        <v>170</v>
      </c>
    </row>
    <row r="1694" spans="1:1" x14ac:dyDescent="0.25">
      <c r="A1694" t="s">
        <v>33</v>
      </c>
    </row>
    <row r="1695" spans="1:1" x14ac:dyDescent="0.25">
      <c r="A1695" t="s">
        <v>218</v>
      </c>
    </row>
    <row r="1696" spans="1:1" x14ac:dyDescent="0.25">
      <c r="A1696" t="s">
        <v>171</v>
      </c>
    </row>
    <row r="1697" spans="1:1" x14ac:dyDescent="0.25">
      <c r="A1697" t="s">
        <v>274</v>
      </c>
    </row>
    <row r="1698" spans="1:1" x14ac:dyDescent="0.25">
      <c r="A1698" t="s">
        <v>44</v>
      </c>
    </row>
    <row r="1700" spans="1:1" x14ac:dyDescent="0.25">
      <c r="A1700" t="s">
        <v>175</v>
      </c>
    </row>
    <row r="1701" spans="1:1" x14ac:dyDescent="0.25">
      <c r="A1701" t="s">
        <v>33</v>
      </c>
    </row>
    <row r="1702" spans="1:1" x14ac:dyDescent="0.25">
      <c r="A1702" t="s">
        <v>218</v>
      </c>
    </row>
    <row r="1703" spans="1:1" x14ac:dyDescent="0.25">
      <c r="A1703" t="s">
        <v>176</v>
      </c>
    </row>
    <row r="1704" spans="1:1" x14ac:dyDescent="0.25">
      <c r="A1704" t="s">
        <v>274</v>
      </c>
    </row>
    <row r="1705" spans="1:1" x14ac:dyDescent="0.25">
      <c r="A1705" t="s">
        <v>44</v>
      </c>
    </row>
    <row r="1707" spans="1:1" x14ac:dyDescent="0.25">
      <c r="A1707" t="s">
        <v>180</v>
      </c>
    </row>
    <row r="1708" spans="1:1" x14ac:dyDescent="0.25">
      <c r="A1708" t="s">
        <v>33</v>
      </c>
    </row>
    <row r="1709" spans="1:1" x14ac:dyDescent="0.25">
      <c r="A1709" t="s">
        <v>218</v>
      </c>
    </row>
    <row r="1710" spans="1:1" x14ac:dyDescent="0.25">
      <c r="A1710" t="s">
        <v>181</v>
      </c>
    </row>
    <row r="1711" spans="1:1" x14ac:dyDescent="0.25">
      <c r="A1711" t="s">
        <v>274</v>
      </c>
    </row>
    <row r="1712" spans="1:1" x14ac:dyDescent="0.25">
      <c r="A1712" t="s">
        <v>44</v>
      </c>
    </row>
    <row r="1714" spans="1:1" x14ac:dyDescent="0.25">
      <c r="A1714" t="s">
        <v>184</v>
      </c>
    </row>
    <row r="1715" spans="1:1" x14ac:dyDescent="0.25">
      <c r="A1715" t="s">
        <v>33</v>
      </c>
    </row>
    <row r="1716" spans="1:1" x14ac:dyDescent="0.25">
      <c r="A1716" t="s">
        <v>218</v>
      </c>
    </row>
    <row r="1717" spans="1:1" x14ac:dyDescent="0.25">
      <c r="A1717" t="s">
        <v>185</v>
      </c>
    </row>
    <row r="1718" spans="1:1" x14ac:dyDescent="0.25">
      <c r="A1718" t="s">
        <v>274</v>
      </c>
    </row>
    <row r="1719" spans="1:1" x14ac:dyDescent="0.25">
      <c r="A1719" t="s">
        <v>44</v>
      </c>
    </row>
    <row r="1721" spans="1:1" x14ac:dyDescent="0.25">
      <c r="A1721" t="s">
        <v>190</v>
      </c>
    </row>
    <row r="1722" spans="1:1" x14ac:dyDescent="0.25">
      <c r="A1722" t="s">
        <v>33</v>
      </c>
    </row>
    <row r="1723" spans="1:1" x14ac:dyDescent="0.25">
      <c r="A1723" t="s">
        <v>218</v>
      </c>
    </row>
    <row r="1724" spans="1:1" x14ac:dyDescent="0.25">
      <c r="A1724" t="s">
        <v>191</v>
      </c>
    </row>
    <row r="1725" spans="1:1" x14ac:dyDescent="0.25">
      <c r="A1725" t="s">
        <v>274</v>
      </c>
    </row>
    <row r="1726" spans="1:1" x14ac:dyDescent="0.25">
      <c r="A1726" t="s">
        <v>44</v>
      </c>
    </row>
    <row r="1728" spans="1:1" x14ac:dyDescent="0.25">
      <c r="A1728" t="s">
        <v>195</v>
      </c>
    </row>
    <row r="1729" spans="1:1" x14ac:dyDescent="0.25">
      <c r="A1729" t="s">
        <v>33</v>
      </c>
    </row>
    <row r="1730" spans="1:1" x14ac:dyDescent="0.25">
      <c r="A1730" t="s">
        <v>218</v>
      </c>
    </row>
    <row r="1731" spans="1:1" x14ac:dyDescent="0.25">
      <c r="A1731" t="s">
        <v>196</v>
      </c>
    </row>
    <row r="1732" spans="1:1" x14ac:dyDescent="0.25">
      <c r="A1732" t="s">
        <v>274</v>
      </c>
    </row>
    <row r="1733" spans="1:1" x14ac:dyDescent="0.25">
      <c r="A1733" t="s">
        <v>44</v>
      </c>
    </row>
    <row r="1735" spans="1:1" x14ac:dyDescent="0.25">
      <c r="A1735" t="s">
        <v>199</v>
      </c>
    </row>
    <row r="1736" spans="1:1" x14ac:dyDescent="0.25">
      <c r="A1736" t="s">
        <v>33</v>
      </c>
    </row>
    <row r="1737" spans="1:1" x14ac:dyDescent="0.25">
      <c r="A1737" t="s">
        <v>218</v>
      </c>
    </row>
    <row r="1738" spans="1:1" x14ac:dyDescent="0.25">
      <c r="A1738" t="s">
        <v>200</v>
      </c>
    </row>
    <row r="1739" spans="1:1" x14ac:dyDescent="0.25">
      <c r="A1739" t="s">
        <v>274</v>
      </c>
    </row>
    <row r="1740" spans="1:1" x14ac:dyDescent="0.25">
      <c r="A1740" t="s">
        <v>44</v>
      </c>
    </row>
    <row r="1742" spans="1:1" x14ac:dyDescent="0.25">
      <c r="A1742" t="s">
        <v>204</v>
      </c>
    </row>
    <row r="1743" spans="1:1" x14ac:dyDescent="0.25">
      <c r="A1743" t="s">
        <v>33</v>
      </c>
    </row>
    <row r="1744" spans="1:1" x14ac:dyDescent="0.25">
      <c r="A1744" t="s">
        <v>218</v>
      </c>
    </row>
    <row r="1745" spans="1:1" x14ac:dyDescent="0.25">
      <c r="A1745" t="s">
        <v>205</v>
      </c>
    </row>
    <row r="1746" spans="1:1" x14ac:dyDescent="0.25">
      <c r="A1746" t="s">
        <v>203</v>
      </c>
    </row>
    <row r="1747" spans="1:1" x14ac:dyDescent="0.25">
      <c r="A1747" t="s">
        <v>44</v>
      </c>
    </row>
    <row r="1749" spans="1:1" x14ac:dyDescent="0.25">
      <c r="A1749" t="s">
        <v>44</v>
      </c>
    </row>
    <row r="1751" spans="1:1" x14ac:dyDescent="0.25">
      <c r="A1751" t="s">
        <v>235</v>
      </c>
    </row>
    <row r="1752" spans="1:1" x14ac:dyDescent="0.25">
      <c r="A1752" t="s">
        <v>33</v>
      </c>
    </row>
    <row r="1753" spans="1:1" x14ac:dyDescent="0.25">
      <c r="A1753" t="s">
        <v>88</v>
      </c>
    </row>
    <row r="1754" spans="1:1" x14ac:dyDescent="0.25">
      <c r="A1754" t="s">
        <v>33</v>
      </c>
    </row>
    <row r="1755" spans="1:1" x14ac:dyDescent="0.25">
      <c r="A1755" t="s">
        <v>218</v>
      </c>
    </row>
    <row r="1756" spans="1:1" x14ac:dyDescent="0.25">
      <c r="A1756" t="s">
        <v>97</v>
      </c>
    </row>
    <row r="1757" spans="1:1" x14ac:dyDescent="0.25">
      <c r="A1757" t="s">
        <v>305</v>
      </c>
    </row>
    <row r="1758" spans="1:1" x14ac:dyDescent="0.25">
      <c r="A1758" t="s">
        <v>44</v>
      </c>
    </row>
    <row r="1760" spans="1:1" x14ac:dyDescent="0.25">
      <c r="A1760" t="s">
        <v>91</v>
      </c>
    </row>
    <row r="1761" spans="1:1" x14ac:dyDescent="0.25">
      <c r="A1761" t="s">
        <v>33</v>
      </c>
    </row>
    <row r="1762" spans="1:1" x14ac:dyDescent="0.25">
      <c r="A1762" t="s">
        <v>218</v>
      </c>
    </row>
    <row r="1763" spans="1:1" x14ac:dyDescent="0.25">
      <c r="A1763" t="s">
        <v>100</v>
      </c>
    </row>
    <row r="1764" spans="1:1" x14ac:dyDescent="0.25">
      <c r="A1764" t="s">
        <v>169</v>
      </c>
    </row>
    <row r="1765" spans="1:1" x14ac:dyDescent="0.25">
      <c r="A1765" t="s">
        <v>44</v>
      </c>
    </row>
    <row r="1767" spans="1:1" x14ac:dyDescent="0.25">
      <c r="A1767" t="s">
        <v>94</v>
      </c>
    </row>
    <row r="1768" spans="1:1" x14ac:dyDescent="0.25">
      <c r="A1768" t="s">
        <v>33</v>
      </c>
    </row>
    <row r="1769" spans="1:1" x14ac:dyDescent="0.25">
      <c r="A1769" t="s">
        <v>218</v>
      </c>
    </row>
    <row r="1770" spans="1:1" x14ac:dyDescent="0.25">
      <c r="A1770" t="s">
        <v>191</v>
      </c>
    </row>
    <row r="1771" spans="1:1" x14ac:dyDescent="0.25">
      <c r="A1771" t="s">
        <v>203</v>
      </c>
    </row>
    <row r="1772" spans="1:1" x14ac:dyDescent="0.25">
      <c r="A1772" t="s">
        <v>44</v>
      </c>
    </row>
    <row r="1774" spans="1:1" x14ac:dyDescent="0.25">
      <c r="A1774" t="s">
        <v>96</v>
      </c>
    </row>
    <row r="1775" spans="1:1" x14ac:dyDescent="0.25">
      <c r="A1775" t="s">
        <v>33</v>
      </c>
    </row>
    <row r="1776" spans="1:1" x14ac:dyDescent="0.25">
      <c r="A1776" t="s">
        <v>218</v>
      </c>
    </row>
    <row r="1777" spans="1:1" x14ac:dyDescent="0.25">
      <c r="A1777" t="s">
        <v>200</v>
      </c>
    </row>
    <row r="1778" spans="1:1" x14ac:dyDescent="0.25">
      <c r="A1778" t="s">
        <v>203</v>
      </c>
    </row>
    <row r="1779" spans="1:1" x14ac:dyDescent="0.25">
      <c r="A1779" t="s">
        <v>44</v>
      </c>
    </row>
    <row r="1781" spans="1:1" x14ac:dyDescent="0.25">
      <c r="A1781" t="s">
        <v>44</v>
      </c>
    </row>
    <row r="1783" spans="1:1" x14ac:dyDescent="0.25">
      <c r="A1783" t="s">
        <v>44</v>
      </c>
    </row>
    <row r="1785" spans="1:1" x14ac:dyDescent="0.25">
      <c r="A1785" t="s">
        <v>44</v>
      </c>
    </row>
    <row r="1787" spans="1:1" x14ac:dyDescent="0.25">
      <c r="A1787" t="s">
        <v>44</v>
      </c>
    </row>
    <row r="1788" spans="1:1" x14ac:dyDescent="0.25">
      <c r="A1788" t="s">
        <v>315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C15"/>
  <sheetViews>
    <sheetView workbookViewId="0">
      <selection activeCell="B4" sqref="B4"/>
    </sheetView>
  </sheetViews>
  <sheetFormatPr baseColWidth="10" defaultRowHeight="15" x14ac:dyDescent="0.25"/>
  <cols>
    <col min="1" max="6" width="15.7109375" customWidth="1"/>
  </cols>
  <sheetData>
    <row r="1" spans="1:3" x14ac:dyDescent="0.25">
      <c r="A1" t="s">
        <v>4</v>
      </c>
      <c r="B1" t="s">
        <v>17</v>
      </c>
      <c r="C1" t="s">
        <v>18</v>
      </c>
    </row>
    <row r="2" spans="1:3" x14ac:dyDescent="0.25">
      <c r="B2" t="s">
        <v>318</v>
      </c>
      <c r="C2" t="s">
        <v>319</v>
      </c>
    </row>
    <row r="3" spans="1:3" x14ac:dyDescent="0.25">
      <c r="A3" t="s">
        <v>5</v>
      </c>
      <c r="C3">
        <v>9</v>
      </c>
    </row>
    <row r="4" spans="1:3" x14ac:dyDescent="0.25">
      <c r="A4" t="s">
        <v>6</v>
      </c>
      <c r="B4">
        <v>241</v>
      </c>
      <c r="C4">
        <v>527</v>
      </c>
    </row>
    <row r="5" spans="1:3" x14ac:dyDescent="0.25">
      <c r="A5" t="s">
        <v>7</v>
      </c>
    </row>
    <row r="6" spans="1:3" x14ac:dyDescent="0.25">
      <c r="A6" t="s">
        <v>8</v>
      </c>
    </row>
    <row r="7" spans="1:3" x14ac:dyDescent="0.25">
      <c r="A7" t="s">
        <v>9</v>
      </c>
    </row>
    <row r="8" spans="1:3" x14ac:dyDescent="0.25">
      <c r="A8" t="s">
        <v>10</v>
      </c>
    </row>
    <row r="9" spans="1:3" x14ac:dyDescent="0.25">
      <c r="A9" t="s">
        <v>11</v>
      </c>
      <c r="B9">
        <v>2</v>
      </c>
    </row>
    <row r="10" spans="1:3" x14ac:dyDescent="0.25">
      <c r="A10" t="s">
        <v>12</v>
      </c>
    </row>
    <row r="11" spans="1:3" x14ac:dyDescent="0.25">
      <c r="A11" t="s">
        <v>13</v>
      </c>
    </row>
    <row r="12" spans="1:3" x14ac:dyDescent="0.25">
      <c r="A12" t="s">
        <v>14</v>
      </c>
    </row>
    <row r="13" spans="1:3" x14ac:dyDescent="0.25">
      <c r="A13" t="s">
        <v>16</v>
      </c>
    </row>
    <row r="14" spans="1:3" x14ac:dyDescent="0.25">
      <c r="A14" t="s">
        <v>320</v>
      </c>
    </row>
    <row r="15" spans="1:3" x14ac:dyDescent="0.25">
      <c r="A15" t="s">
        <v>321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40</vt:i4>
      </vt:variant>
    </vt:vector>
  </HeadingPairs>
  <TitlesOfParts>
    <vt:vector size="44" baseType="lpstr">
      <vt:lpstr>AKS</vt:lpstr>
      <vt:lpstr>Schiffe</vt:lpstr>
      <vt:lpstr>API Data</vt:lpstr>
      <vt:lpstr>APIFilteredData</vt:lpstr>
      <vt:lpstr>'API Data'!_?apiid_cr_de_150_4ce341eae62d4bb416f7feb60f1bde07f00c564f_rawOut_on</vt:lpstr>
      <vt:lpstr>'API Data'!_?apiid_cr_de_150_4ce341eae62d4bb416f7feb60f1bde07f00c564f_rawOut_on_1</vt:lpstr>
      <vt:lpstr>'API Data'!ExterneDaten_1</vt:lpstr>
      <vt:lpstr>'API Data'!ExterneDaten_10</vt:lpstr>
      <vt:lpstr>'API Data'!ExterneDaten_11</vt:lpstr>
      <vt:lpstr>'API Data'!ExterneDaten_12</vt:lpstr>
      <vt:lpstr>'API Data'!ExterneDaten_13</vt:lpstr>
      <vt:lpstr>'API Data'!ExterneDaten_14</vt:lpstr>
      <vt:lpstr>'API Data'!ExterneDaten_15</vt:lpstr>
      <vt:lpstr>'API Data'!ExterneDaten_16</vt:lpstr>
      <vt:lpstr>'API Data'!ExterneDaten_17</vt:lpstr>
      <vt:lpstr>'API Data'!ExterneDaten_18</vt:lpstr>
      <vt:lpstr>'API Data'!ExterneDaten_19</vt:lpstr>
      <vt:lpstr>'API Data'!ExterneDaten_2</vt:lpstr>
      <vt:lpstr>'API Data'!ExterneDaten_20</vt:lpstr>
      <vt:lpstr>'API Data'!ExterneDaten_21</vt:lpstr>
      <vt:lpstr>'API Data'!ExterneDaten_22</vt:lpstr>
      <vt:lpstr>'API Data'!ExterneDaten_23</vt:lpstr>
      <vt:lpstr>'API Data'!ExterneDaten_24</vt:lpstr>
      <vt:lpstr>'API Data'!ExterneDaten_25</vt:lpstr>
      <vt:lpstr>'API Data'!ExterneDaten_26</vt:lpstr>
      <vt:lpstr>'API Data'!ExterneDaten_27</vt:lpstr>
      <vt:lpstr>'API Data'!ExterneDaten_28</vt:lpstr>
      <vt:lpstr>'API Data'!ExterneDaten_29</vt:lpstr>
      <vt:lpstr>'API Data'!ExterneDaten_3</vt:lpstr>
      <vt:lpstr>'API Data'!ExterneDaten_30</vt:lpstr>
      <vt:lpstr>'API Data'!ExterneDaten_31</vt:lpstr>
      <vt:lpstr>'API Data'!ExterneDaten_32</vt:lpstr>
      <vt:lpstr>'API Data'!ExterneDaten_33</vt:lpstr>
      <vt:lpstr>'API Data'!ExterneDaten_34</vt:lpstr>
      <vt:lpstr>'API Data'!ExterneDaten_35</vt:lpstr>
      <vt:lpstr>'API Data'!ExterneDaten_36</vt:lpstr>
      <vt:lpstr>'API Data'!ExterneDaten_37</vt:lpstr>
      <vt:lpstr>'API Data'!ExterneDaten_38</vt:lpstr>
      <vt:lpstr>'API Data'!ExterneDaten_4</vt:lpstr>
      <vt:lpstr>'API Data'!ExterneDaten_5</vt:lpstr>
      <vt:lpstr>'API Data'!ExterneDaten_6</vt:lpstr>
      <vt:lpstr>'API Data'!ExterneDaten_7</vt:lpstr>
      <vt:lpstr>'API Data'!ExterneDaten_8</vt:lpstr>
      <vt:lpstr>'API Data'!ExterneDaten_9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</dc:creator>
  <cp:lastModifiedBy>Jan</cp:lastModifiedBy>
  <dcterms:created xsi:type="dcterms:W3CDTF">2017-12-09T14:43:07Z</dcterms:created>
  <dcterms:modified xsi:type="dcterms:W3CDTF">2017-12-12T13:57:34Z</dcterms:modified>
</cp:coreProperties>
</file>