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DieseArbeitsmappe" defaultThemeVersion="124226"/>
  <bookViews>
    <workbookView xWindow="120" yWindow="75" windowWidth="15315" windowHeight="5700"/>
  </bookViews>
  <sheets>
    <sheet name="AKS" sheetId="1" r:id="rId1"/>
    <sheet name="Schiffe" sheetId="2" r:id="rId2"/>
    <sheet name="API Data" sheetId="4" r:id="rId3"/>
    <sheet name="APIFilteredData" sheetId="5" r:id="rId4"/>
  </sheets>
  <functionGroups/>
  <definedNames>
    <definedName name="_?apiid_cr_de_150_4ce341eae62d4bb416f7feb60f1bde07f00c564f_rawOut_on" localSheetId="2">'API Data'!$A$1:$F$1788</definedName>
    <definedName name="_?apiid_cr_de_150_4ce341eae62d4bb416f7feb60f1bde07f00c564f_rawOut_on_1" localSheetId="2">'API Data'!$A$1:$A$6</definedName>
    <definedName name="ExterneDaten_1" localSheetId="2">'API Data'!$A$1:$F$1788</definedName>
    <definedName name="ExterneDaten_10" localSheetId="2">'API Data'!$A$1:$F$1788</definedName>
    <definedName name="ExterneDaten_11" localSheetId="2">'API Data'!$A$1:$F$1788</definedName>
    <definedName name="ExterneDaten_12" localSheetId="2">'API Data'!$A$1:$F$1788</definedName>
    <definedName name="ExterneDaten_13" localSheetId="2">'API Data'!$A$1:$F$1788</definedName>
    <definedName name="ExterneDaten_14" localSheetId="2">'API Data'!$A$1:$F$1788</definedName>
    <definedName name="ExterneDaten_15" localSheetId="2">'API Data'!$A$1:$F$1788</definedName>
    <definedName name="ExterneDaten_16" localSheetId="2">'API Data'!$A$1:$F$1788</definedName>
    <definedName name="ExterneDaten_17" localSheetId="2">'API Data'!$A$1:$F$1788</definedName>
    <definedName name="ExterneDaten_18" localSheetId="2">'API Data'!$A$1:$F$1788</definedName>
    <definedName name="ExterneDaten_19" localSheetId="2">'API Data'!$A$1:$F$1788</definedName>
    <definedName name="ExterneDaten_2" localSheetId="2">'API Data'!$A$1:$F$1788</definedName>
    <definedName name="ExterneDaten_20" localSheetId="2">'API Data'!$A$1:$F$1788</definedName>
    <definedName name="ExterneDaten_21" localSheetId="2">'API Data'!$A$1:$F$1788</definedName>
    <definedName name="ExterneDaten_22" localSheetId="2">'API Data'!$A$1:$F$1788</definedName>
    <definedName name="ExterneDaten_23" localSheetId="2">'API Data'!$A$1:$F$1788</definedName>
    <definedName name="ExterneDaten_24" localSheetId="2">'API Data'!$A$1:$F$1788</definedName>
    <definedName name="ExterneDaten_25" localSheetId="2">'API Data'!$A$1:$A$6</definedName>
    <definedName name="ExterneDaten_26" localSheetId="2">'API Data'!$A$1:$A$6</definedName>
    <definedName name="ExterneDaten_27" localSheetId="2">'API Data'!$A$1:$A$6</definedName>
    <definedName name="ExterneDaten_28" localSheetId="2">'API Data'!$A$1:$F$1788</definedName>
    <definedName name="ExterneDaten_29" localSheetId="2">'API Data'!$A$1:$F$1788</definedName>
    <definedName name="ExterneDaten_3" localSheetId="2">'API Data'!$A$1:$F$1788</definedName>
    <definedName name="ExterneDaten_30" localSheetId="2">'API Data'!$A$1:$F$1788</definedName>
    <definedName name="ExterneDaten_31" localSheetId="2">'API Data'!$A$1:$F$1788</definedName>
    <definedName name="ExterneDaten_32" localSheetId="2">'API Data'!$A$1:$F$1788</definedName>
    <definedName name="ExterneDaten_33" localSheetId="2">'API Data'!$A$1:$F$1788</definedName>
    <definedName name="ExterneDaten_34" localSheetId="2">'API Data'!$A$1:$F$1788</definedName>
    <definedName name="ExterneDaten_35" localSheetId="2">'API Data'!$A$1:$F$1788</definedName>
    <definedName name="ExterneDaten_36" localSheetId="2">'API Data'!$A$1:$F$1788</definedName>
    <definedName name="ExterneDaten_37" localSheetId="2">'API Data'!$A$1:$F$1788</definedName>
    <definedName name="ExterneDaten_38" localSheetId="2">'API Data'!$A$1:$F$1788</definedName>
    <definedName name="ExterneDaten_39" localSheetId="2">'API Data'!$A$1:$F$938</definedName>
    <definedName name="ExterneDaten_4" localSheetId="2">'API Data'!$A$1:$A$5</definedName>
    <definedName name="ExterneDaten_40" localSheetId="2">'API Data'!$A$1:$F$938</definedName>
    <definedName name="ExterneDaten_41" localSheetId="2">'API Data'!$A$1:$F$938</definedName>
    <definedName name="ExterneDaten_42" localSheetId="2">'API Data'!$A$1:$F$938</definedName>
    <definedName name="ExterneDaten_43" localSheetId="2">'API Data'!$A$1:$F$938</definedName>
    <definedName name="ExterneDaten_44" localSheetId="2">'API Data'!$A$1:$F$938</definedName>
    <definedName name="ExterneDaten_45" localSheetId="2">'API Data'!$A$1:$F$938</definedName>
    <definedName name="ExterneDaten_5" localSheetId="2">'API Data'!$A$1:$A$5</definedName>
    <definedName name="ExterneDaten_6" localSheetId="2">'API Data'!$A$1:$F$1788</definedName>
    <definedName name="ExterneDaten_7" localSheetId="2">'API Data'!$A$1:$F$1788</definedName>
    <definedName name="ExterneDaten_8" localSheetId="2">'API Data'!$A$1:$F$1788</definedName>
    <definedName name="ExterneDaten_9" localSheetId="2">'API Data'!$A$1:$F$1788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</workbook>
</file>

<file path=xl/calcChain.xml><?xml version="1.0" encoding="utf-8"?>
<calcChain xmlns="http://schemas.openxmlformats.org/spreadsheetml/2006/main">
  <c r="G22" i="1"/>
  <c r="G21"/>
  <c r="G20"/>
  <c r="F22"/>
  <c r="F21"/>
  <c r="F20"/>
  <c r="E22"/>
  <c r="E21"/>
  <c r="E20"/>
  <c r="C22"/>
  <c r="C20"/>
  <c r="D23" i="2"/>
  <c r="C23"/>
  <c r="B23"/>
  <c r="D22"/>
  <c r="C22"/>
  <c r="B22"/>
  <c r="C21"/>
  <c r="B21"/>
  <c r="D20"/>
  <c r="C20"/>
  <c r="B20"/>
  <c r="D20" i="1"/>
  <c r="D22"/>
  <c r="D21"/>
  <c r="C21"/>
  <c r="W20" l="1"/>
  <c r="V20"/>
  <c r="U20"/>
  <c r="T20"/>
  <c r="S20"/>
  <c r="R20"/>
  <c r="Q20"/>
  <c r="P20"/>
  <c r="O20"/>
  <c r="N20"/>
  <c r="M20"/>
  <c r="L20"/>
  <c r="K20"/>
  <c r="J20"/>
  <c r="I20"/>
  <c r="C28" l="1"/>
  <c r="R29" s="1"/>
  <c r="R41" s="1"/>
  <c r="D28"/>
  <c r="M29" s="1"/>
  <c r="M41" s="1"/>
  <c r="E28"/>
  <c r="N29" s="1"/>
  <c r="N41" s="1"/>
  <c r="I29" l="1"/>
  <c r="I41" s="1"/>
  <c r="L29"/>
  <c r="L41" s="1"/>
  <c r="U29"/>
  <c r="U41" s="1"/>
  <c r="O29"/>
  <c r="O41" s="1"/>
  <c r="J29"/>
  <c r="J41" s="1"/>
  <c r="V29"/>
  <c r="V41" s="1"/>
  <c r="S29"/>
  <c r="S41" s="1"/>
  <c r="K29"/>
  <c r="K41" s="1"/>
  <c r="P29"/>
  <c r="P41" s="1"/>
  <c r="T29"/>
  <c r="T41" s="1"/>
  <c r="Q29"/>
  <c r="Q41" s="1"/>
  <c r="W29"/>
  <c r="W41" s="1"/>
</calcChain>
</file>

<file path=xl/connections.xml><?xml version="1.0" encoding="utf-8"?>
<connections xmlns="http://schemas.openxmlformats.org/spreadsheetml/2006/main">
  <connection id="1" name="Verbindung" type="4" refreshedVersion="4" background="1" saveData="1">
    <webPr sourceData="1" parsePre="1" consecutive="1" xl2000="1" url="https://nomoreangel.de/api-reader/?apiid=cr-de-150-4ce341eae62d4bb416f7feb60f1bde07f00c564f&amp;rawOut=on"/>
  </connection>
  <connection id="2" name="Verbindung1" type="4" refreshedVersion="4" background="1" refreshOnLoad="1" saveData="1">
    <webPr sourceData="1" parsePre="1" consecutive="1" xl2000="1" url="https://nomoreangel.de/api-reader/"/>
  </connection>
  <connection id="3" name="Verbindung10" type="4" refreshedVersion="4" saveData="1">
    <webPr sourceData="1" parsePre="1" consecutive="1" xl2000="1" url="https://nomoreangel.de/api-reader/?apiid=cr-de-150-4ce341eae62d4bb416f7feb60f1bde07f00c564f&amp;rawOut=on"/>
  </connection>
  <connection id="4" name="Verbindung11" type="4" refreshedVersion="4" saveData="1">
    <webPr sourceData="1" parsePre="1" consecutive="1" xl2000="1" url="https://nomoreangel.de/api-reader/?apiid=cr-de-150-4ce341eae62d4bb416f7feb60f1bde07f00c564f&amp;rawOut=on"/>
  </connection>
  <connection id="5" name="Verbindung12" type="4" refreshedVersion="4" saveData="1">
    <webPr sourceData="1" parsePre="1" consecutive="1" xl2000="1" url="https://nomoreangel.de/api-reader/?apiid=cr-de-150-4ce341eae62d4bb416f7feb60f1bde07f00c564f&amp;rawOut=on"/>
  </connection>
  <connection id="6" name="Verbindung13" type="4" refreshedVersion="4" saveData="1">
    <webPr sourceData="1" parsePre="1" consecutive="1" xl2000="1" url="https://nomoreangel.de/api-reader/?apiid=cr-de-150-4ce341eae62d4bb416f7feb60f1bde07f00c564f&amp;rawOut=on"/>
  </connection>
  <connection id="7" name="Verbindung14" type="4" refreshedVersion="4" saveData="1">
    <webPr sourceData="1" parsePre="1" consecutive="1" xl2000="1" url="https://nomoreangel.de/api-reader/?apiid=cr-de-150-4ce341eae62d4bb416f7feb60f1bde07f00c564f&amp;rawOut=on"/>
  </connection>
  <connection id="8" name="Verbindung15" type="4" refreshedVersion="4" saveData="1">
    <webPr sourceData="1" parsePre="1" consecutive="1" xl2000="1" url="https://nomoreangel.de/api-reader/?apiid=cr-de-150-4ce341eae62d4bb416f7feb60f1bde07f00c564f&amp;rawOut=on"/>
  </connection>
  <connection id="9" name="Verbindung16" type="4" refreshedVersion="4" saveData="1">
    <webPr sourceData="1" parsePre="1" consecutive="1" xl2000="1" url="https://nomoreangel.de/api-reader/?apiid=cr-de-150-4ce341eae62d4bb416f7feb60f1bde07f00c564f&amp;rawOut=on"/>
  </connection>
  <connection id="10" name="Verbindung17" type="4" refreshedVersion="4" saveData="1">
    <webPr sourceData="1" parsePre="1" consecutive="1" xl2000="1" url="https://nomoreangel.de/api-reader/?apiid=cr-de-150-4ce341eae62d4bb416f7feb60f1bde07f00c564f&amp;rawOut=on"/>
  </connection>
  <connection id="11" name="Verbindung18" type="4" refreshedVersion="4" saveData="1">
    <webPr sourceData="1" parsePre="1" consecutive="1" xl2000="1" url="https://nomoreangel.de/api-reader/?apiid=cr-de-150-4ce341eae62d4bb416f7feb60f1bde07f00c564f&amp;rawOut=on"/>
  </connection>
  <connection id="12" name="Verbindung19" type="4" refreshedVersion="4" saveData="1">
    <webPr sourceData="1" parsePre="1" consecutive="1" xl2000="1" url="https://nomoreangel.de/api-reader/?apiid=cr-de-150-4ce341eae62d4bb416f7feb60f1bde07f00c564f&amp;rawOut=on"/>
  </connection>
  <connection id="13" name="Verbindung2" type="4" refreshedVersion="4" saveData="1">
    <webPr sourceData="1" parsePre="1" consecutive="1" xl2000="1" url="https://nomoreangel.de/api-reader/?apiid=cr-de-150-4ce341eae62d4bb416f7feb60f1bde07f00c564f&amp;rawOut=on"/>
  </connection>
  <connection id="14" name="Verbindung20" type="4" refreshedVersion="4" saveData="1">
    <webPr sourceData="1" parsePre="1" consecutive="1" xl2000="1" url="https://nomoreangel.de/api-reader/?apiid=cr-de-150-4ce341eae62d4bb416f7feb60f1bde07f00c564f&amp;rawOut=on"/>
  </connection>
  <connection id="15" name="Verbindung21" type="4" refreshedVersion="4" saveData="1">
    <webPr sourceData="1" parsePre="1" consecutive="1" xl2000="1" url="https://nomoreangel.de/api-reader/?apiid=cr-de-150-4ce341eae62d4bb416f7feb60f1bde07f00c564f&amp;rawOut=on"/>
  </connection>
  <connection id="16" name="Verbindung22" type="4" refreshedVersion="4" saveData="1">
    <webPr sourceData="1" parsePre="1" consecutive="1" xl2000="1" url="https://nomoreangel.de/api-reader/?apiid=cr-de-150-4ce341eae62d4bb416f7feb60f1bde07f00c564f&amp;rawOut=on"/>
  </connection>
  <connection id="17" name="Verbindung23" type="4" refreshedVersion="4" saveData="1">
    <webPr sourceData="1" parsePre="1" consecutive="1" xl2000="1" url="https://nomoreangel.de/api-reader/?apiid=cr-de-150-4ce341eae62d4bb416f7feb60f1bde07f00c564f&amp;rawOut=on"/>
  </connection>
  <connection id="18" name="Verbindung24" type="4" refreshedVersion="4" saveData="1">
    <webPr sourceData="1" parsePre="1" consecutive="1" xl2000="1" url="https://nomoreangel.de/api-reader/?apiid=cr-de-150-4ce341eae62d4bb416f7feb60f1bde07f00c564f&amp;rawOut=on"/>
  </connection>
  <connection id="19" name="Verbindung25" type="4" refreshedVersion="4" saveData="1">
    <webPr sourceData="1" parsePre="1" consecutive="1" xl2000="1" url="https://nomoreangel.de/api-reader/?apiid=cr-de-150-4ce341eae62d4bb416f7feb60f1bde07f00c564f&amp;rawOut=on"/>
  </connection>
  <connection id="20" name="Verbindung26" type="4" refreshedVersion="4" saveData="1">
    <webPr sourceData="1" parsePre="1" consecutive="1" xl2000="1" url="https://nomoreangel.de/api-reader/?apiid=&amp;rawOut=on"/>
  </connection>
  <connection id="21" name="Verbindung27" type="4" refreshedVersion="4" saveData="1">
    <webPr sourceData="1" parsePre="1" consecutive="1" xl2000="1" url="https://nomoreangel.de/api-reader/?apiid=&amp;rawOut=on"/>
  </connection>
  <connection id="22" name="Verbindung28" type="4" refreshedVersion="4" saveData="1">
    <webPr sourceData="1" parsePre="1" consecutive="1" xl2000="1" url="https://nomoreangel.de/api-reader/?apiid=&amp;rawOut=on"/>
  </connection>
  <connection id="23" name="Verbindung29" type="4" refreshedVersion="4" saveData="1">
    <webPr sourceData="1" parsePre="1" consecutive="1" xl2000="1" url="https://nomoreangel.de/api-reader/?apiid=cr-de-150-4ce341eae62d4bb416f7feb60f1bde07f00c564f&amp;rawOut=on"/>
  </connection>
  <connection id="24" name="Verbindung3" type="4" refreshedVersion="4" saveData="1">
    <webPr sourceData="1" parsePre="1" consecutive="1" xl2000="1" url="https://nomoreangel.de/api-reader/?apiid=cr-de-150-4ce341eae62d4bb416f7feb60f1bde07f00c564f&amp;rawOut=on"/>
  </connection>
  <connection id="25" name="Verbindung30" type="4" refreshedVersion="4" saveData="1">
    <webPr sourceData="1" parsePre="1" consecutive="1" xl2000="1" url="https://nomoreangel.de/api-reader/?apiid=cr-de-150-4ce341eae62d4bb416f7feb60f1bde07f00c564f&amp;rawOut=on"/>
  </connection>
  <connection id="26" name="Verbindung31" type="4" refreshedVersion="4" saveData="1">
    <webPr sourceData="1" parsePre="1" consecutive="1" xl2000="1" url="https://nomoreangel.de/api-reader/?apiid=cr-de-150-4ce341eae62d4bb416f7feb60f1bde07f00c564f&amp;rawOut=on"/>
  </connection>
  <connection id="27" name="Verbindung32" type="4" refreshedVersion="4" saveData="1">
    <webPr sourceData="1" parsePre="1" consecutive="1" xl2000="1" url="https://nomoreangel.de/api-reader/?apiid=cr-de-150-4ce341eae62d4bb416f7feb60f1bde07f00c564f&amp;rawOut=on"/>
  </connection>
  <connection id="28" name="Verbindung33" type="4" refreshedVersion="4" saveData="1">
    <webPr sourceData="1" parsePre="1" consecutive="1" xl2000="1" url="https://nomoreangel.de/api-reader/?apiid=cr-de-150-4ce341eae62d4bb416f7feb60f1bde07f00c564f&amp;rawOut=on"/>
  </connection>
  <connection id="29" name="Verbindung34" type="4" refreshedVersion="4" saveData="1">
    <webPr sourceData="1" parsePre="1" consecutive="1" xl2000="1" url="https://nomoreangel.de/api-reader/?apiid=cr-de-150-4ce341eae62d4bb416f7feb60f1bde07f00c564f&amp;rawOut=on"/>
  </connection>
  <connection id="30" name="Verbindung35" type="4" refreshedVersion="4" saveData="1">
    <webPr sourceData="1" parsePre="1" consecutive="1" xl2000="1" url="https://nomoreangel.de/api-reader/?apiid=cr-de-150-4ce341eae62d4bb416f7feb60f1bde07f00c564f&amp;rawOut=on"/>
  </connection>
  <connection id="31" name="Verbindung36" type="4" refreshedVersion="4" saveData="1">
    <webPr sourceData="1" parsePre="1" consecutive="1" xl2000="1" url="https://nomoreangel.de/api-reader/?apiid=cr-de-150-4ce341eae62d4bb416f7feb60f1bde07f00c564f&amp;rawOut=on"/>
  </connection>
  <connection id="32" name="Verbindung37" type="4" refreshedVersion="4" saveData="1">
    <webPr sourceData="1" parsePre="1" consecutive="1" xl2000="1" url="https://nomoreangel.de/api-reader/?apiid=cr-de-150-4ce341eae62d4bb416f7feb60f1bde07f00c564f&amp;rawOut=on"/>
  </connection>
  <connection id="33" name="Verbindung38" type="4" refreshedVersion="4" saveData="1">
    <webPr sourceData="1" parsePre="1" consecutive="1" xl2000="1" url="https://nomoreangel.de/api-reader/?apiid=cr-de-150-4ce341eae62d4bb416f7feb60f1bde07f00c564f&amp;rawOut=on"/>
  </connection>
  <connection id="34" name="Verbindung39" type="4" refreshedVersion="4" saveData="1">
    <webPr sourceData="1" parsePre="1" consecutive="1" xl2000="1" url="https://nomoreangel.de/api-reader/?apiid=cr-de-150-4ce341eae62d4bb416f7feb60f1bde07f00c564f&amp;rawOut=on"/>
  </connection>
  <connection id="35" name="Verbindung4" type="4" refreshedVersion="4" saveData="1">
    <webPr sourceData="1" parsePre="1" consecutive="1" xl2000="1" url="https://nomoreangel.de/api-reader/?apiid=cr-de-150-4ce341eae62d4bb416f7feb60f1bde07f00c564f&amp;rawOut=on"/>
  </connection>
  <connection id="36" name="Verbindung40" type="4" refreshedVersion="4" saveData="1">
    <webPr sourceData="1" parsePre="1" consecutive="1" xl2000="1" url="https://nomoreangel.de/api-reader/?apiid=cr-de-150-c7746c80b541c97eb839779820efdc74ed0c18ef&amp;rawOut=on"/>
  </connection>
  <connection id="37" name="Verbindung41" type="4" refreshedVersion="4" saveData="1">
    <webPr sourceData="1" parsePre="1" consecutive="1" xl2000="1" url="https://nomoreangel.de/api-reader/?apiid=cr-de-150-c7746c80b541c97eb839779820efdc74ed0c18ef&amp;rawOut=on"/>
  </connection>
  <connection id="38" name="Verbindung42" type="4" refreshedVersion="4" saveData="1">
    <webPr sourceData="1" parsePre="1" consecutive="1" xl2000="1" url="https://nomoreangel.de/api-reader/?apiid=cr-de-150-c7746c80b541c97eb839779820efdc74ed0c18ef&amp;rawOut=on"/>
  </connection>
  <connection id="39" name="Verbindung43" type="4" refreshedVersion="4" saveData="1">
    <webPr sourceData="1" parsePre="1" consecutive="1" xl2000="1" url="https://nomoreangel.de/api-reader/?apiid=cr-de-150-c7746c80b541c97eb839779820efdc74ed0c18ef&amp;rawOut=on"/>
  </connection>
  <connection id="40" name="Verbindung44" type="4" refreshedVersion="4" saveData="1">
    <webPr sourceData="1" parsePre="1" consecutive="1" xl2000="1" url="https://nomoreangel.de/api-reader/?apiid=cr-de-150-c7746c80b541c97eb839779820efdc74ed0c18ef&amp;rawOut=on"/>
  </connection>
  <connection id="41" name="Verbindung45" type="4" refreshedVersion="4" saveData="1">
    <webPr sourceData="1" parsePre="1" consecutive="1" xl2000="1" url="https://nomoreangel.de/api-reader/?apiid=cr-de-150-c7746c80b541c97eb839779820efdc74ed0c18ef&amp;rawOut=on"/>
  </connection>
  <connection id="42" name="Verbindung46" type="4" refreshedVersion="4" saveData="1">
    <webPr sourceData="1" parsePre="1" consecutive="1" xl2000="1" url="https://nomoreangel.de/api-reader/?apiid=cr-de-150-c7746c80b541c97eb839779820efdc74ed0c18ef&amp;rawOut=on"/>
  </connection>
  <connection id="43" name="Verbindung47" type="4" refreshedVersion="0" background="1">
    <webPr url="https://nomoreangel.de/api-reader/?apiid=cr-de-187-dc0f850d8b7d620c7c7b91b4c17bbc955cccc5d4&amp;rawOut=on" htmlTables="1" htmlFormat="all"/>
  </connection>
  <connection id="44" name="Verbindung5" type="4" refreshedVersion="4" saveData="1">
    <webPr sourceData="1" parsePre="1" consecutive="1" xl2000="1" url="https://nomoreangel.de/api-reader/?apiid=cr-de-150-4ce341eae62d4bb416f7feb60f1bde07f00c564frawOut=on"/>
  </connection>
  <connection id="45" name="Verbindung6" type="4" refreshedVersion="4" saveData="1">
    <webPr sourceData="1" parsePre="1" consecutive="1" xl2000="1" url="https://nomoreangel.de/api-reader/?apiid=cr-de-150-4ce341eae62d4bb416f7feb60f1bde07f00c564frawOut=on"/>
  </connection>
  <connection id="46" name="Verbindung7" type="4" refreshedVersion="4" saveData="1">
    <webPr sourceData="1" parsePre="1" consecutive="1" xl2000="1" url="https://nomoreangel.de/api-reader/?apiid=cr-de-150-4ce341eae62d4bb416f7feb60f1bde07f00c564f&amp;rawOut=on"/>
  </connection>
  <connection id="47" name="Verbindung8" type="4" refreshedVersion="4" saveData="1">
    <webPr sourceData="1" parsePre="1" consecutive="1" xl2000="1" url="https://nomoreangel.de/api-reader/?apiid=cr-de-150-4ce341eae62d4bb416f7feb60f1bde07f00c564f&amp;rawOut=on"/>
  </connection>
  <connection id="48" name="Verbindung9" type="4" refreshedVersion="4" saveData="1">
    <webPr sourceData="1" parsePre="1" consecutive="1" xl2000="1" url="https://nomoreangel.de/api-reader/?apiid=cr-de-150-4ce341eae62d4bb416f7feb60f1bde07f00c564f&amp;rawOut=on"/>
  </connection>
</connections>
</file>

<file path=xl/sharedStrings.xml><?xml version="1.0" encoding="utf-8"?>
<sst xmlns="http://schemas.openxmlformats.org/spreadsheetml/2006/main" count="117" uniqueCount="37">
  <si>
    <t>Metall</t>
  </si>
  <si>
    <t>Kristall</t>
  </si>
  <si>
    <t>Deuterium</t>
  </si>
  <si>
    <t>Schiffe</t>
  </si>
  <si>
    <t>Name</t>
  </si>
  <si>
    <t>KT</t>
  </si>
  <si>
    <t>LJ</t>
  </si>
  <si>
    <t>GT</t>
  </si>
  <si>
    <t>SJ</t>
  </si>
  <si>
    <t>Xer</t>
  </si>
  <si>
    <t>SS</t>
  </si>
  <si>
    <t>SXer</t>
  </si>
  <si>
    <t>BB</t>
  </si>
  <si>
    <t>Zerri</t>
  </si>
  <si>
    <t>Rip</t>
  </si>
  <si>
    <t>Verluste</t>
  </si>
  <si>
    <t>Rec</t>
  </si>
  <si>
    <t>AKS-P1</t>
  </si>
  <si>
    <t>AKS-P2</t>
  </si>
  <si>
    <t>AKS-P3</t>
  </si>
  <si>
    <t>AKS-P4</t>
  </si>
  <si>
    <t>AKS-P5</t>
  </si>
  <si>
    <t>Deut</t>
  </si>
  <si>
    <t>Erbeutet Ressourcen</t>
  </si>
  <si>
    <t>Gewinn Gesamt</t>
  </si>
  <si>
    <t>Anteile AKS Partner</t>
  </si>
  <si>
    <t>Ressourcen Verteilung</t>
  </si>
  <si>
    <t>Type</t>
  </si>
  <si>
    <t>Spio</t>
  </si>
  <si>
    <t>Kolo</t>
  </si>
  <si>
    <t>Pathfinder</t>
  </si>
  <si>
    <t>Reaper</t>
  </si>
  <si>
    <t>PF</t>
  </si>
  <si>
    <t>ss</t>
  </si>
  <si>
    <t>xer</t>
  </si>
  <si>
    <t>pf</t>
  </si>
  <si>
    <t>API Key (not working/in progress)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</si>
</sst>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3F3F3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4">
    <xf numFmtId="0" fontId="0" fillId="0" borderId="0" xfId="0"/>
    <xf numFmtId="3" fontId="0" fillId="0" borderId="0" xfId="0" applyNumberFormat="1"/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0" fillId="4" borderId="4" xfId="0" applyFill="1" applyBorder="1"/>
    <xf numFmtId="0" fontId="0" fillId="5" borderId="3" xfId="0" applyFill="1" applyBorder="1"/>
    <xf numFmtId="0" fontId="6" fillId="5" borderId="0" xfId="0" applyFont="1" applyFill="1" applyAlignment="1">
      <alignment horizontal="center"/>
    </xf>
    <xf numFmtId="0" fontId="0" fillId="4" borderId="0" xfId="0" applyFill="1"/>
    <xf numFmtId="0" fontId="4" fillId="5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3" fontId="2" fillId="2" borderId="1" xfId="2" applyNumberFormat="1"/>
    <xf numFmtId="3" fontId="0" fillId="4" borderId="4" xfId="0" applyNumberFormat="1" applyFill="1" applyBorder="1"/>
    <xf numFmtId="3" fontId="2" fillId="2" borderId="9" xfId="2" applyNumberFormat="1" applyBorder="1"/>
    <xf numFmtId="3" fontId="2" fillId="2" borderId="10" xfId="2" applyNumberFormat="1" applyBorder="1"/>
    <xf numFmtId="3" fontId="2" fillId="2" borderId="11" xfId="2" applyNumberFormat="1" applyBorder="1"/>
    <xf numFmtId="3" fontId="0" fillId="4" borderId="0" xfId="0" applyNumberFormat="1" applyFill="1"/>
    <xf numFmtId="3" fontId="0" fillId="4" borderId="0" xfId="0" applyNumberFormat="1" applyFill="1" applyBorder="1"/>
    <xf numFmtId="0" fontId="3" fillId="3" borderId="2" xfId="3"/>
    <xf numFmtId="3" fontId="3" fillId="3" borderId="2" xfId="3" applyNumberFormat="1"/>
    <xf numFmtId="9" fontId="2" fillId="2" borderId="1" xfId="1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3" fontId="3" fillId="3" borderId="2" xfId="3" applyNumberFormat="1" applyAlignment="1">
      <alignment horizontal="center"/>
    </xf>
    <xf numFmtId="3" fontId="2" fillId="2" borderId="13" xfId="2" applyNumberFormat="1" applyBorder="1"/>
    <xf numFmtId="0" fontId="6" fillId="5" borderId="0" xfId="0" applyFont="1" applyFill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2" fillId="2" borderId="12" xfId="2" applyBorder="1" applyAlignment="1">
      <alignment horizontal="center"/>
    </xf>
    <xf numFmtId="0" fontId="2" fillId="2" borderId="0" xfId="2" applyBorder="1" applyAlignment="1">
      <alignment horizontal="center"/>
    </xf>
    <xf numFmtId="0" fontId="6" fillId="7" borderId="0" xfId="0" applyFont="1" applyFill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3" fontId="2" fillId="2" borderId="15" xfId="2" applyNumberFormat="1" applyBorder="1"/>
    <xf numFmtId="3" fontId="2" fillId="2" borderId="14" xfId="2" applyNumberFormat="1" applyBorder="1"/>
  </cellXfs>
  <cellStyles count="4">
    <cellStyle name="Ausgabe" xfId="3" builtinId="21"/>
    <cellStyle name="Eingabe" xfId="2" builtinId="20"/>
    <cellStyle name="Prozent" xfId="1" builtinId="5"/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ExterneDaten_28" headers="0" backgroundRefres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31" headers="0" backgroundRefresh="0" connectionId="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30" headers="0" backgroundRefresh="0" connectionId="2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Daten_19" headers="0" backgroundRefres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eDaten_38" headers="0" backgroundRefres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eDaten_18" headers="0" backgroundRefres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eDaten_9" headers="0" backgroundRefres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?apiid=cr-de-150-4ce341eae62d4bb416f7feb60f1bde07f00c564f&amp;rawOut=on_1" refreshOnLoad="1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eDaten_29" headers="0" backgroundRefresh="0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eDaten_39" headers="0" backgroundRefresh="0" connectionId="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eDaten_45" headers="0" backgroundRefresh="0" connectionId="4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eDaten_42" headers="0" backgroundRefresh="0" connectionId="3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eDaten_43" headers="0" backgroundRefresh="0" connectionId="4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eDaten_10" headers="0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eDaten_26" headers="0" backgroundRefresh="0" connectionId="2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eDaten_23" headers="0" backgroundRefresh="0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eDaten_34" headers="0" backgroundRefresh="0" connectionId="3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eDaten_35" headers="0" backgroundRefres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eDaten_22" headers="0" backgroundRefresh="0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eDaten_12" headers="0" backgroundRefresh="0" connectionId="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eDaten_4" headers="0" backgroundRefresh="0" connectionId="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eDaten_2" headers="0" backgroundRefresh="0" connectionId="2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eDaten_17" headers="0" backgroundRefres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eDaten_7" headers="0" backgroundRefresh="0" connectionId="4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eDaten_20" headers="0" backgroundRefresh="0" connectionId="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eDaten_33" headers="0" backgroundRefresh="0" connectionId="2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eDaten_25" headers="0" backgroundRefres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eDaten_8" headers="0" backgroundRefresh="0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eDaten_3" headers="0" backgroundRefresh="0" connectionId="3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eDaten_27" headers="0" backgroundRefres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eDaten_5" headers="0" backgroundRefresh="0" connectionId="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eDaten_40" headers="0" backgroundRefresh="0" connectionId="3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eDaten_6" headers="0" backgroundRefresh="0" connectionId="4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eDaten_21" headers="0" backgroundRefresh="0" connectionId="1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eDaten_24" headers="0" backgroundRefresh="0" connectionId="1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eDaten_13" headers="0" backgroundRefresh="0" connectionId="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eDaten_36" headers="0" backgroundRefresh="0" connectionId="3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eDaten_15" headers="0" backgroundRefresh="0" connectionId="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eDaten_11" headers="0" backgroundRefresh="0" connectionId="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eDaten_1" headers="0" backgroundRefresh="0" connectionId="1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?apiid=cr-de-150-4ce341eae62d4bb416f7feb60f1bde07f00c564f&amp;rawOut=on" fillFormulas="1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eDaten_14" headers="0" backgroundRefresh="0" connectionId="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eDaten_44" headers="0" backgroundRefres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eDaten_41" headers="0" backgroundRefresh="0" connectionId="3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eDaten_32" headers="0" backgroundRefresh="0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eDaten_16" headers="0" backgroundRefresh="0" connectionId="1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eDaten_37" headers="0" backgroundRefresh="0" connectionId="3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GZ44"/>
  <sheetViews>
    <sheetView tabSelected="1" topLeftCell="A7" workbookViewId="0">
      <selection activeCell="P38" sqref="P38"/>
    </sheetView>
  </sheetViews>
  <sheetFormatPr baseColWidth="10" defaultColWidth="0" defaultRowHeight="15" zeroHeight="1"/>
  <cols>
    <col min="1" max="1" width="3.7109375" style="7" customWidth="1"/>
    <col min="2" max="2" width="8.28515625" customWidth="1"/>
    <col min="3" max="7" width="15.7109375" customWidth="1"/>
    <col min="8" max="8" width="3.7109375" customWidth="1"/>
    <col min="9" max="23" width="11.42578125" customWidth="1"/>
    <col min="24" max="24" width="3.7109375" style="7" customWidth="1"/>
    <col min="25" max="884" width="0" hidden="1" customWidth="1"/>
    <col min="885" max="16384" width="11.42578125" hidden="1"/>
  </cols>
  <sheetData>
    <row r="1" spans="2:23" ht="18" customHeight="1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2:23" ht="18.75">
      <c r="B2" s="30" t="s">
        <v>15</v>
      </c>
      <c r="C2" s="30"/>
      <c r="D2" s="30"/>
      <c r="E2" s="30"/>
      <c r="F2" s="30"/>
      <c r="G2" s="30"/>
      <c r="H2" s="4"/>
      <c r="I2" s="31" t="s">
        <v>23</v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2:23" ht="18.75">
      <c r="B3" s="6"/>
      <c r="C3" s="27"/>
      <c r="D3" s="27"/>
      <c r="E3" s="27"/>
      <c r="F3" s="27"/>
      <c r="G3" s="27"/>
      <c r="H3" s="4"/>
      <c r="I3" s="33" t="s">
        <v>17</v>
      </c>
      <c r="J3" s="34"/>
      <c r="K3" s="34"/>
      <c r="L3" s="33" t="s">
        <v>18</v>
      </c>
      <c r="M3" s="34"/>
      <c r="N3" s="35"/>
      <c r="O3" s="34" t="s">
        <v>19</v>
      </c>
      <c r="P3" s="34"/>
      <c r="Q3" s="34"/>
      <c r="R3" s="33" t="s">
        <v>20</v>
      </c>
      <c r="S3" s="34"/>
      <c r="T3" s="35"/>
      <c r="U3" s="34" t="s">
        <v>21</v>
      </c>
      <c r="V3" s="34"/>
      <c r="W3" s="34"/>
    </row>
    <row r="4" spans="2:23">
      <c r="B4" s="5"/>
      <c r="C4" s="8" t="s">
        <v>17</v>
      </c>
      <c r="D4" s="8" t="s">
        <v>18</v>
      </c>
      <c r="E4" s="8" t="s">
        <v>19</v>
      </c>
      <c r="F4" s="8" t="s">
        <v>20</v>
      </c>
      <c r="G4" s="8" t="s">
        <v>21</v>
      </c>
      <c r="H4" s="9"/>
      <c r="I4" s="10" t="s">
        <v>0</v>
      </c>
      <c r="J4" s="11" t="s">
        <v>1</v>
      </c>
      <c r="K4" s="11" t="s">
        <v>22</v>
      </c>
      <c r="L4" s="10" t="s">
        <v>0</v>
      </c>
      <c r="M4" s="11" t="s">
        <v>1</v>
      </c>
      <c r="N4" s="12" t="s">
        <v>22</v>
      </c>
      <c r="O4" s="11" t="s">
        <v>0</v>
      </c>
      <c r="P4" s="11" t="s">
        <v>1</v>
      </c>
      <c r="Q4" s="11" t="s">
        <v>22</v>
      </c>
      <c r="R4" s="10" t="s">
        <v>0</v>
      </c>
      <c r="S4" s="11" t="s">
        <v>1</v>
      </c>
      <c r="T4" s="12" t="s">
        <v>22</v>
      </c>
      <c r="U4" s="11" t="s">
        <v>0</v>
      </c>
      <c r="V4" s="11" t="s">
        <v>1</v>
      </c>
      <c r="W4" s="11" t="s">
        <v>22</v>
      </c>
    </row>
    <row r="5" spans="2:23">
      <c r="B5" s="13" t="s">
        <v>5</v>
      </c>
      <c r="C5" s="16"/>
      <c r="D5" s="16"/>
      <c r="E5" s="16"/>
      <c r="F5" s="16"/>
      <c r="G5" s="16"/>
      <c r="H5" s="17"/>
      <c r="I5" s="16"/>
      <c r="J5" s="16"/>
      <c r="K5" s="18"/>
      <c r="L5" s="19"/>
      <c r="M5" s="16"/>
      <c r="N5" s="18"/>
      <c r="O5" s="19"/>
      <c r="P5" s="16"/>
      <c r="Q5" s="18"/>
      <c r="R5" s="19"/>
      <c r="S5" s="16"/>
      <c r="T5" s="18"/>
      <c r="U5" s="19"/>
      <c r="V5" s="16"/>
      <c r="W5" s="16"/>
    </row>
    <row r="6" spans="2:23">
      <c r="B6" s="14" t="s">
        <v>6</v>
      </c>
      <c r="C6" s="16"/>
      <c r="D6" s="16"/>
      <c r="E6" s="16"/>
      <c r="F6" s="16"/>
      <c r="G6" s="16"/>
      <c r="H6" s="17"/>
      <c r="I6" s="16"/>
      <c r="J6" s="16"/>
      <c r="K6" s="18"/>
      <c r="L6" s="20"/>
      <c r="M6" s="16"/>
      <c r="N6" s="18"/>
      <c r="O6" s="20"/>
      <c r="P6" s="16"/>
      <c r="Q6" s="18"/>
      <c r="R6" s="20"/>
      <c r="S6" s="16"/>
      <c r="T6" s="18"/>
      <c r="U6" s="20"/>
      <c r="V6" s="16"/>
      <c r="W6" s="16"/>
    </row>
    <row r="7" spans="2:23">
      <c r="B7" s="14" t="s">
        <v>7</v>
      </c>
      <c r="C7" s="16"/>
      <c r="D7" s="16"/>
      <c r="E7" s="16"/>
      <c r="F7" s="16"/>
      <c r="G7" s="16"/>
      <c r="H7" s="17"/>
      <c r="I7" s="16"/>
      <c r="J7" s="16"/>
      <c r="K7" s="18"/>
      <c r="L7" s="20"/>
      <c r="M7" s="16"/>
      <c r="N7" s="18"/>
      <c r="O7" s="20"/>
      <c r="P7" s="16"/>
      <c r="Q7" s="18"/>
      <c r="R7" s="20"/>
      <c r="S7" s="16"/>
      <c r="T7" s="18"/>
      <c r="U7" s="20"/>
      <c r="V7" s="16"/>
      <c r="W7" s="16"/>
    </row>
    <row r="8" spans="2:23">
      <c r="B8" s="14" t="s">
        <v>8</v>
      </c>
      <c r="C8" s="16"/>
      <c r="D8" s="16"/>
      <c r="E8" s="16"/>
      <c r="F8" s="16"/>
      <c r="G8" s="16"/>
      <c r="H8" s="17"/>
      <c r="I8" s="16"/>
      <c r="J8" s="16"/>
      <c r="K8" s="18"/>
      <c r="L8" s="20"/>
      <c r="M8" s="16"/>
      <c r="N8" s="18"/>
      <c r="O8" s="20"/>
      <c r="P8" s="16"/>
      <c r="Q8" s="18"/>
      <c r="R8" s="20"/>
      <c r="S8" s="16"/>
      <c r="T8" s="18"/>
      <c r="U8" s="20"/>
      <c r="V8" s="16"/>
      <c r="W8" s="16"/>
    </row>
    <row r="9" spans="2:23">
      <c r="B9" s="14" t="s">
        <v>9</v>
      </c>
      <c r="C9" s="16"/>
      <c r="D9" s="16"/>
      <c r="E9" s="16"/>
      <c r="F9" s="16"/>
      <c r="G9" s="16"/>
      <c r="H9" s="17"/>
      <c r="I9" s="16"/>
      <c r="J9" s="16"/>
      <c r="K9" s="18"/>
      <c r="L9" s="20"/>
      <c r="M9" s="16"/>
      <c r="N9" s="18"/>
      <c r="O9" s="20"/>
      <c r="P9" s="16"/>
      <c r="Q9" s="18"/>
      <c r="R9" s="20"/>
      <c r="S9" s="16"/>
      <c r="T9" s="18"/>
      <c r="U9" s="20"/>
      <c r="V9" s="16"/>
      <c r="W9" s="16"/>
    </row>
    <row r="10" spans="2:23">
      <c r="B10" s="14" t="s">
        <v>10</v>
      </c>
      <c r="C10" s="16"/>
      <c r="D10" s="16"/>
      <c r="E10" s="16"/>
      <c r="F10" s="16"/>
      <c r="G10" s="16"/>
      <c r="H10" s="17"/>
      <c r="I10" s="16"/>
      <c r="J10" s="16"/>
      <c r="K10" s="18"/>
      <c r="L10" s="20"/>
      <c r="M10" s="16"/>
      <c r="N10" s="18"/>
      <c r="O10" s="20"/>
      <c r="P10" s="16"/>
      <c r="Q10" s="18"/>
      <c r="R10" s="20"/>
      <c r="S10" s="16"/>
      <c r="T10" s="18"/>
      <c r="U10" s="20"/>
      <c r="V10" s="16"/>
      <c r="W10" s="16"/>
    </row>
    <row r="11" spans="2:23">
      <c r="B11" s="14" t="s">
        <v>11</v>
      </c>
      <c r="C11" s="16"/>
      <c r="D11" s="16"/>
      <c r="E11" s="16"/>
      <c r="F11" s="16"/>
      <c r="G11" s="16"/>
      <c r="H11" s="17"/>
      <c r="I11" s="16"/>
      <c r="J11" s="16"/>
      <c r="K11" s="18"/>
      <c r="L11" s="20"/>
      <c r="M11" s="16"/>
      <c r="N11" s="18"/>
      <c r="O11" s="20"/>
      <c r="P11" s="16"/>
      <c r="Q11" s="18"/>
      <c r="R11" s="20"/>
      <c r="S11" s="16"/>
      <c r="T11" s="18"/>
      <c r="U11" s="20"/>
      <c r="V11" s="16"/>
      <c r="W11" s="16"/>
    </row>
    <row r="12" spans="2:23">
      <c r="B12" s="14" t="s">
        <v>12</v>
      </c>
      <c r="C12" s="16"/>
      <c r="D12" s="16"/>
      <c r="E12" s="16"/>
      <c r="F12" s="16"/>
      <c r="G12" s="16"/>
      <c r="H12" s="17"/>
      <c r="I12" s="16"/>
      <c r="J12" s="16"/>
      <c r="K12" s="18"/>
      <c r="L12" s="20"/>
      <c r="M12" s="16"/>
      <c r="N12" s="18"/>
      <c r="O12" s="20"/>
      <c r="P12" s="16"/>
      <c r="Q12" s="18"/>
      <c r="R12" s="20"/>
      <c r="S12" s="16"/>
      <c r="T12" s="18"/>
      <c r="U12" s="20"/>
      <c r="V12" s="16"/>
      <c r="W12" s="16"/>
    </row>
    <row r="13" spans="2:23">
      <c r="B13" s="14" t="s">
        <v>13</v>
      </c>
      <c r="C13" s="16"/>
      <c r="D13" s="16"/>
      <c r="E13" s="16"/>
      <c r="F13" s="16"/>
      <c r="G13" s="16"/>
      <c r="H13" s="17"/>
      <c r="I13" s="16"/>
      <c r="J13" s="16"/>
      <c r="K13" s="18"/>
      <c r="L13" s="20"/>
      <c r="M13" s="16"/>
      <c r="N13" s="18"/>
      <c r="O13" s="20"/>
      <c r="P13" s="16"/>
      <c r="Q13" s="18"/>
      <c r="R13" s="20"/>
      <c r="S13" s="16"/>
      <c r="T13" s="18"/>
      <c r="U13" s="20"/>
      <c r="V13" s="16"/>
      <c r="W13" s="16"/>
    </row>
    <row r="14" spans="2:23">
      <c r="B14" s="14" t="s">
        <v>14</v>
      </c>
      <c r="C14" s="16"/>
      <c r="D14" s="16"/>
      <c r="E14" s="16"/>
      <c r="F14" s="16"/>
      <c r="G14" s="16"/>
      <c r="H14" s="17"/>
      <c r="I14" s="16"/>
      <c r="J14" s="16"/>
      <c r="K14" s="18"/>
      <c r="L14" s="20"/>
      <c r="M14" s="16"/>
      <c r="N14" s="18"/>
      <c r="O14" s="20"/>
      <c r="P14" s="16"/>
      <c r="Q14" s="18"/>
      <c r="R14" s="20"/>
      <c r="S14" s="16"/>
      <c r="T14" s="18"/>
      <c r="U14" s="20"/>
      <c r="V14" s="16"/>
      <c r="W14" s="16"/>
    </row>
    <row r="15" spans="2:23">
      <c r="B15" s="14" t="s">
        <v>16</v>
      </c>
      <c r="C15" s="16"/>
      <c r="D15" s="16"/>
      <c r="E15" s="16"/>
      <c r="F15" s="16"/>
      <c r="G15" s="16"/>
      <c r="H15" s="17"/>
      <c r="I15" s="16"/>
      <c r="J15" s="16"/>
      <c r="K15" s="42"/>
      <c r="L15" s="29"/>
      <c r="M15" s="16"/>
      <c r="N15" s="42"/>
      <c r="O15" s="29"/>
      <c r="P15" s="16"/>
      <c r="Q15" s="42"/>
      <c r="R15" s="29"/>
      <c r="S15" s="16"/>
      <c r="T15" s="42"/>
      <c r="U15" s="29"/>
      <c r="V15" s="16"/>
      <c r="W15" s="16"/>
    </row>
    <row r="16" spans="2:23">
      <c r="B16" s="14" t="s">
        <v>28</v>
      </c>
      <c r="C16" s="29"/>
      <c r="D16" s="16"/>
      <c r="E16" s="16"/>
      <c r="F16" s="16"/>
      <c r="G16" s="16"/>
      <c r="H16" s="22"/>
      <c r="I16" s="16"/>
      <c r="J16" s="16"/>
      <c r="K16" s="42"/>
      <c r="L16" s="29"/>
      <c r="M16" s="16"/>
      <c r="N16" s="42"/>
      <c r="O16" s="29"/>
      <c r="P16" s="16"/>
      <c r="Q16" s="42"/>
      <c r="R16" s="29"/>
      <c r="S16" s="16"/>
      <c r="T16" s="42"/>
      <c r="U16" s="29"/>
      <c r="V16" s="16"/>
      <c r="W16" s="16"/>
    </row>
    <row r="17" spans="2:23">
      <c r="B17" s="14" t="s">
        <v>29</v>
      </c>
      <c r="C17" s="29"/>
      <c r="D17" s="16"/>
      <c r="E17" s="16"/>
      <c r="F17" s="16"/>
      <c r="G17" s="16"/>
      <c r="H17" s="22"/>
      <c r="I17" s="16"/>
      <c r="J17" s="16"/>
      <c r="K17" s="42"/>
      <c r="L17" s="29"/>
      <c r="M17" s="16"/>
      <c r="N17" s="42"/>
      <c r="O17" s="29"/>
      <c r="P17" s="16"/>
      <c r="Q17" s="42"/>
      <c r="R17" s="29"/>
      <c r="S17" s="16"/>
      <c r="T17" s="42"/>
      <c r="U17" s="29"/>
      <c r="V17" s="16"/>
      <c r="W17" s="16"/>
    </row>
    <row r="18" spans="2:23">
      <c r="B18" s="14" t="s">
        <v>32</v>
      </c>
      <c r="C18" s="29"/>
      <c r="D18" s="16"/>
      <c r="E18" s="16"/>
      <c r="F18" s="16"/>
      <c r="G18" s="16"/>
      <c r="H18" s="17"/>
      <c r="I18" s="16"/>
      <c r="J18" s="16"/>
      <c r="K18" s="42"/>
      <c r="L18" s="29"/>
      <c r="M18" s="16"/>
      <c r="N18" s="42"/>
      <c r="O18" s="29"/>
      <c r="P18" s="16"/>
      <c r="Q18" s="42"/>
      <c r="R18" s="29"/>
      <c r="S18" s="16"/>
      <c r="T18" s="42"/>
      <c r="U18" s="29"/>
      <c r="V18" s="16"/>
      <c r="W18" s="16"/>
    </row>
    <row r="19" spans="2:23">
      <c r="B19" s="15" t="s">
        <v>31</v>
      </c>
      <c r="C19" s="16"/>
      <c r="D19" s="16"/>
      <c r="E19" s="16"/>
      <c r="F19" s="16"/>
      <c r="G19" s="16"/>
      <c r="H19" s="17"/>
      <c r="I19" s="16"/>
      <c r="J19" s="16"/>
      <c r="K19" s="43"/>
      <c r="L19" s="29"/>
      <c r="M19" s="16"/>
      <c r="N19" s="43"/>
      <c r="O19" s="29"/>
      <c r="P19" s="16"/>
      <c r="Q19" s="43"/>
      <c r="R19" s="29"/>
      <c r="S19" s="16"/>
      <c r="T19" s="43"/>
      <c r="U19" s="29"/>
      <c r="V19" s="16"/>
      <c r="W19" s="16"/>
    </row>
    <row r="20" spans="2:23">
      <c r="B20" s="14" t="s">
        <v>0</v>
      </c>
      <c r="C20" s="24">
        <f>AKS!C5*Schiffe!B3+AKS!C6*Schiffe!B4+AKS!C7*Schiffe!B5+AKS!C8*Schiffe!B6+AKS!C9*Schiffe!B7+AKS!C10*Schiffe!B8+AKS!C11*Schiffe!B9+AKS!C12*Schiffe!B10+AKS!C13*Schiffe!B11+AKS!C14*Schiffe!B12+AKS!C15*Schiffe!B13+AKS!C16*Schiffe!B14+AKS!C17*Schiffe!B15+AKS!C18*Schiffe!B16+AKS!C19*Schiffe!B17</f>
        <v>0</v>
      </c>
      <c r="D20" s="24">
        <f>AKS!D5*Schiffe!B3+AKS!D6*Schiffe!B4+AKS!D7*Schiffe!B5+AKS!D8*Schiffe!B6+AKS!D9*Schiffe!B7+AKS!D10*Schiffe!B8+AKS!D11*Schiffe!B9+AKS!D12*Schiffe!B10+AKS!D13*Schiffe!B11+AKS!D14*Schiffe!B12+AKS!D15*Schiffe!B13+AKS!D16*Schiffe!B14+AKS!D17*Schiffe!B15+AKS!D18*Schiffe!B16</f>
        <v>0</v>
      </c>
      <c r="E20" s="24">
        <f>AKS!E5*Schiffe!B3+AKS!E6*Schiffe!B4+AKS!E7*Schiffe!B5+AKS!E8*Schiffe!B6+AKS!E9*Schiffe!B7+AKS!E10*Schiffe!B8+AKS!E11*Schiffe!B9+AKS!E12*Schiffe!B10+AKS!E13*Schiffe!B11+AKS!E14*Schiffe!B12+AKS!E15*Schiffe!B13+AKS!E16*Schiffe!B14+AKS!E17*Schiffe!B15+AKS!E18*Schiffe!B16+AKS!E19*Schiffe!B17</f>
        <v>0</v>
      </c>
      <c r="F20" s="24">
        <f>AKS!F5*Schiffe!B3+AKS!F6*Schiffe!B4+AKS!F7*Schiffe!B5+AKS!F8*Schiffe!B6+AKS!F9*Schiffe!B7+AKS!F10*Schiffe!B8+AKS!F11*Schiffe!B9+AKS!F12*Schiffe!B10+AKS!F13*Schiffe!B11+AKS!F14*Schiffe!B12+AKS!F15*Schiffe!B13+AKS!F16*Schiffe!B14+AKS!F17*Schiffe!B15+AKS!F18*Schiffe!B16+AKS!F19*Schiffe!B17</f>
        <v>0</v>
      </c>
      <c r="G20" s="24">
        <f>AKS!G5*Schiffe!B3+AKS!G6*Schiffe!B4+AKS!G7*Schiffe!B5+AKS!G8*Schiffe!B6+AKS!G9*Schiffe!B7+AKS!G10*Schiffe!B8+AKS!G11*Schiffe!B9+AKS!G12*Schiffe!B10+AKS!G13*Schiffe!B11+AKS!G14*Schiffe!B12+AKS!G15*Schiffe!B13+AKS!G16*Schiffe!B14+AKS!G17*Schiffe!B15+AKS!G18*Schiffe!B16+AKS!G19*Schiffe!B17</f>
        <v>0</v>
      </c>
      <c r="H20" s="17"/>
      <c r="I20" s="24">
        <f t="shared" ref="I20:W20" si="0">SUM(I5:I15)</f>
        <v>0</v>
      </c>
      <c r="J20" s="24">
        <f t="shared" si="0"/>
        <v>0</v>
      </c>
      <c r="K20" s="24">
        <f t="shared" si="0"/>
        <v>0</v>
      </c>
      <c r="L20" s="24">
        <f t="shared" si="0"/>
        <v>0</v>
      </c>
      <c r="M20" s="24">
        <f t="shared" si="0"/>
        <v>0</v>
      </c>
      <c r="N20" s="24">
        <f t="shared" si="0"/>
        <v>0</v>
      </c>
      <c r="O20" s="24">
        <f t="shared" si="0"/>
        <v>0</v>
      </c>
      <c r="P20" s="24">
        <f t="shared" si="0"/>
        <v>0</v>
      </c>
      <c r="Q20" s="24">
        <f t="shared" si="0"/>
        <v>0</v>
      </c>
      <c r="R20" s="24">
        <f t="shared" si="0"/>
        <v>0</v>
      </c>
      <c r="S20" s="24">
        <f t="shared" si="0"/>
        <v>0</v>
      </c>
      <c r="T20" s="24">
        <f t="shared" si="0"/>
        <v>0</v>
      </c>
      <c r="U20" s="24">
        <f t="shared" si="0"/>
        <v>0</v>
      </c>
      <c r="V20" s="24">
        <f t="shared" si="0"/>
        <v>0</v>
      </c>
      <c r="W20" s="24">
        <f t="shared" si="0"/>
        <v>0</v>
      </c>
    </row>
    <row r="21" spans="2:23">
      <c r="B21" s="14" t="s">
        <v>1</v>
      </c>
      <c r="C21" s="24">
        <f>AKS!C5*Schiffe!C3+AKS!C6*Schiffe!C4+AKS!C7*Schiffe!C5+AKS!C8*Schiffe!C6+AKS!C9*Schiffe!C7+AKS!C10*Schiffe!C8+AKS!C11*Schiffe!C9+AKS!C12*Schiffe!C10+AKS!C13*Schiffe!C11+AKS!C14*Schiffe!C12+AKS!C15*Schiffe!C13+AKS!C16*Schiffe!C14+AKS!C17*Schiffe!C15+AKS!C18*Schiffe!C16</f>
        <v>0</v>
      </c>
      <c r="D21" s="24">
        <f>AKS!D5*Schiffe!C3+AKS!D6*Schiffe!C4+AKS!D7*Schiffe!C5+AKS!D8*Schiffe!C6+AKS!D9*Schiffe!C7+AKS!D10*Schiffe!C8+AKS!D11*Schiffe!C9+AKS!D12*Schiffe!C10+AKS!D13*Schiffe!C11+AKS!D14*Schiffe!C12+AKS!D15*Schiffe!C13+AKS!D16*Schiffe!C14+AKS!D17*Schiffe!C15+AKS!D18*Schiffe!C16</f>
        <v>0</v>
      </c>
      <c r="E21" s="24">
        <f>AKS!E5*Schiffe!C3+AKS!E6*Schiffe!C4+AKS!E7*Schiffe!C5+AKS!E8*Schiffe!C6+AKS!E9*Schiffe!C7+AKS!E10*Schiffe!C8+AKS!E11*Schiffe!C9+AKS!E12*Schiffe!C10+AKS!E13*Schiffe!C11+AKS!E14*Schiffe!C12+AKS!E15*Schiffe!C13+AKS!E16*Schiffe!C14+AKS!E17*Schiffe!C15+AKS!E18*Schiffe!C16+AKS!E19*Schiffe!C17</f>
        <v>0</v>
      </c>
      <c r="F21" s="24">
        <f>AKS!F5*Schiffe!C3+AKS!F6*Schiffe!C4+AKS!F7*Schiffe!C5+AKS!F8*Schiffe!C6+AKS!F9*Schiffe!C7+AKS!F10*Schiffe!C8+AKS!F11*Schiffe!C9+AKS!F12*Schiffe!C10+AKS!F13*Schiffe!C11+AKS!F14*Schiffe!C12+AKS!F15*Schiffe!C13+AKS!F16*Schiffe!C14+AKS!F17*Schiffe!C15+AKS!F18*Schiffe!C16+AKS!F19*Schiffe!C17</f>
        <v>0</v>
      </c>
      <c r="G21" s="24">
        <f>AKS!G5*Schiffe!C3+AKS!G6*Schiffe!C4+AKS!G7*Schiffe!C5+AKS!G8*Schiffe!C6+AKS!G9*Schiffe!C7+AKS!G10*Schiffe!C8+AKS!G11*Schiffe!C9+AKS!G12*Schiffe!C10+AKS!G13*Schiffe!C11+AKS!G14*Schiffe!C12+AKS!G15*Schiffe!C13+AKS!G16*Schiffe!C14+AKS!G17*Schiffe!C15+AKS!G18*Schiffe!C16+AKS!G19*Schiffe!C17</f>
        <v>0</v>
      </c>
      <c r="H21" s="17"/>
      <c r="I21" s="21"/>
      <c r="J21" s="21"/>
      <c r="K21" s="21"/>
      <c r="L21" s="22"/>
      <c r="M21" s="22"/>
      <c r="N21" s="22"/>
      <c r="O21" s="21"/>
      <c r="P21" s="21"/>
      <c r="Q21" s="21"/>
      <c r="R21" s="22"/>
      <c r="S21" s="22"/>
      <c r="T21" s="22"/>
      <c r="U21" s="21"/>
      <c r="V21" s="21"/>
      <c r="W21" s="21"/>
    </row>
    <row r="22" spans="2:23">
      <c r="B22" s="14" t="s">
        <v>22</v>
      </c>
      <c r="C22" s="24">
        <f>AKS!C5*Schiffe!D3+AKS!C6*Schiffe!D4+AKS!C7*Schiffe!D5+AKS!C8*Schiffe!D6+AKS!C9*Schiffe!D7+AKS!C10*Schiffe!D8+AKS!C11*Schiffe!D9+AKS!C12*Schiffe!D10+AKS!C13*Schiffe!D11+AKS!C14*Schiffe!D12+AKS!C15*Schiffe!D13+AKS!C17*Schiffe!D15+AKS!C18*Schiffe!D16+AKS!C19*Schiffe!D17</f>
        <v>0</v>
      </c>
      <c r="D22" s="24">
        <f>AKS!D5*Schiffe!D3+AKS!D6*Schiffe!D4+AKS!D7*Schiffe!D5+AKS!D8*Schiffe!D6+AKS!D9*Schiffe!D7+AKS!D10*Schiffe!D8+AKS!D11*Schiffe!D9+AKS!D12*Schiffe!D10+AKS!D13*Schiffe!D11+AKS!D14*Schiffe!D12+AKS!D15*Schiffe!D13+AKS!D16*Schiffe!D14+AKS!D17*Schiffe!D15+AKS!D18*Schiffe!D16</f>
        <v>0</v>
      </c>
      <c r="E22" s="24">
        <f>AKS!E5*Schiffe!D3+AKS!E6*Schiffe!D4+AKS!E7*Schiffe!D5+AKS!E8*Schiffe!D6+AKS!E9*Schiffe!D7+AKS!E10*Schiffe!D8+AKS!E11*Schiffe!D9+AKS!E12*Schiffe!D10+AKS!E13*Schiffe!D11+AKS!E14*Schiffe!D12+AKS!E15*Schiffe!D13+AKS!E16*Schiffe!D14+AKS!E17*Schiffe!D15+AKS!E18*Schiffe!D16+AKS!E19*Schiffe!D17</f>
        <v>0</v>
      </c>
      <c r="F22" s="24">
        <f>AKS!F5*Schiffe!D3+AKS!F6*Schiffe!D4+AKS!F7*Schiffe!D5+AKS!F8*Schiffe!D6+AKS!F9*Schiffe!D7+AKS!F10*Schiffe!D8+AKS!F11*Schiffe!D9+AKS!F12*Schiffe!D10+AKS!F13*Schiffe!D11+AKS!F14*Schiffe!D12+AKS!F15*Schiffe!D13+AKS!F16*Schiffe!D14+AKS!F17*Schiffe!D15+AKS!F18*Schiffe!D16+AKS!F19*Schiffe!D17</f>
        <v>0</v>
      </c>
      <c r="G22" s="24">
        <f>AKS!G5*Schiffe!D3+AKS!G6*Schiffe!D4+AKS!G7*Schiffe!D5+AKS!G8*Schiffe!D6+AKS!G9*Schiffe!D7+AKS!G10*Schiffe!D8+AKS!G11*Schiffe!D9+AKS!G12*Schiffe!D10+AKS!G13*Schiffe!D11+AKS!G14*Schiffe!D12+AKS!G15*Schiffe!D13+AKS!G16*Schiffe!D14+AKS!G17*Schiffe!D15+AKS!G18*Schiffe!D16+AKS!G19*Schiffe!D17</f>
        <v>0</v>
      </c>
      <c r="H22" s="17"/>
      <c r="I22" s="21"/>
      <c r="J22" s="21"/>
      <c r="K22" s="21"/>
      <c r="L22" s="22"/>
      <c r="M22" s="22"/>
      <c r="N22" s="22"/>
      <c r="O22" s="21"/>
      <c r="P22" s="21"/>
      <c r="Q22" s="21"/>
      <c r="R22" s="22"/>
      <c r="S22" s="22"/>
      <c r="T22" s="22"/>
      <c r="U22" s="21"/>
      <c r="V22" s="21"/>
      <c r="W22" s="21"/>
    </row>
    <row r="23" spans="2:23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ht="18.75">
      <c r="B26" s="7"/>
      <c r="C26" s="33" t="s">
        <v>24</v>
      </c>
      <c r="D26" s="34"/>
      <c r="E26" s="34"/>
      <c r="F26" s="7"/>
      <c r="G26" s="7"/>
      <c r="H26" s="7"/>
      <c r="I26" s="31" t="s">
        <v>26</v>
      </c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</row>
    <row r="27" spans="2:23">
      <c r="B27" s="7"/>
      <c r="C27" s="10" t="s">
        <v>0</v>
      </c>
      <c r="D27" s="11" t="s">
        <v>1</v>
      </c>
      <c r="E27" s="11" t="s">
        <v>22</v>
      </c>
      <c r="F27" s="7"/>
      <c r="G27" s="7"/>
      <c r="H27" s="7"/>
      <c r="I27" s="33" t="s">
        <v>17</v>
      </c>
      <c r="J27" s="34"/>
      <c r="K27" s="34"/>
      <c r="L27" s="33" t="s">
        <v>18</v>
      </c>
      <c r="M27" s="34"/>
      <c r="N27" s="35"/>
      <c r="O27" s="34" t="s">
        <v>19</v>
      </c>
      <c r="P27" s="34"/>
      <c r="Q27" s="34"/>
      <c r="R27" s="33" t="s">
        <v>20</v>
      </c>
      <c r="S27" s="34"/>
      <c r="T27" s="35"/>
      <c r="U27" s="34" t="s">
        <v>21</v>
      </c>
      <c r="V27" s="34"/>
      <c r="W27" s="34"/>
    </row>
    <row r="28" spans="2:23">
      <c r="B28" s="7"/>
      <c r="C28" s="28">
        <f>SUM(I20,L20,O20,R20,U20)-SUM(C20:G20)</f>
        <v>0</v>
      </c>
      <c r="D28" s="28">
        <f>SUM(J20,M20,P20,S20,V20)-SUM(C21:G21)</f>
        <v>0</v>
      </c>
      <c r="E28" s="28">
        <f>SUM(K20,N20,Q20,T20,W20)-SUM(C22:G22)</f>
        <v>0</v>
      </c>
      <c r="F28" s="7"/>
      <c r="G28" s="7"/>
      <c r="H28" s="7"/>
      <c r="I28" s="10" t="s">
        <v>0</v>
      </c>
      <c r="J28" s="11" t="s">
        <v>1</v>
      </c>
      <c r="K28" s="11" t="s">
        <v>22</v>
      </c>
      <c r="L28" s="10" t="s">
        <v>0</v>
      </c>
      <c r="M28" s="11" t="s">
        <v>1</v>
      </c>
      <c r="N28" s="12" t="s">
        <v>22</v>
      </c>
      <c r="O28" s="11" t="s">
        <v>0</v>
      </c>
      <c r="P28" s="11" t="s">
        <v>1</v>
      </c>
      <c r="Q28" s="11" t="s">
        <v>22</v>
      </c>
      <c r="R28" s="10" t="s">
        <v>0</v>
      </c>
      <c r="S28" s="11" t="s">
        <v>1</v>
      </c>
      <c r="T28" s="12" t="s">
        <v>22</v>
      </c>
      <c r="U28" s="11" t="s">
        <v>0</v>
      </c>
      <c r="V28" s="11" t="s">
        <v>1</v>
      </c>
      <c r="W28" s="11" t="s">
        <v>22</v>
      </c>
    </row>
    <row r="29" spans="2:23">
      <c r="B29" s="7"/>
      <c r="C29" s="7"/>
      <c r="D29" s="7"/>
      <c r="E29" s="7"/>
      <c r="F29" s="7"/>
      <c r="G29" s="7"/>
      <c r="H29" s="7"/>
      <c r="I29" s="23">
        <f>(C20-I20)+(C28*C34)</f>
        <v>0</v>
      </c>
      <c r="J29" s="23">
        <f>(C21-J20)+(D28*C34)</f>
        <v>0</v>
      </c>
      <c r="K29" s="23">
        <f>C22-K20+E28*C34</f>
        <v>0</v>
      </c>
      <c r="L29" s="23">
        <f>D20-L20+C28*D34</f>
        <v>0</v>
      </c>
      <c r="M29" s="23">
        <f>D21-M20+D28*D34</f>
        <v>0</v>
      </c>
      <c r="N29" s="23">
        <f>D22-N20+E28*D34</f>
        <v>0</v>
      </c>
      <c r="O29" s="23">
        <f>E20-O20+C28*E34</f>
        <v>0</v>
      </c>
      <c r="P29" s="23">
        <f>E21-P20+D28*E34</f>
        <v>0</v>
      </c>
      <c r="Q29" s="23">
        <f>E22-Q20+E28*E34</f>
        <v>0</v>
      </c>
      <c r="R29" s="23">
        <f>F20-R20+C28*F34</f>
        <v>0</v>
      </c>
      <c r="S29" s="23">
        <f>F21-S20+D28*F34</f>
        <v>0</v>
      </c>
      <c r="T29" s="23">
        <f>F22-T20+E28*F34</f>
        <v>0</v>
      </c>
      <c r="U29" s="23">
        <f>G20-U20+C28*G34</f>
        <v>0</v>
      </c>
      <c r="V29" s="23">
        <f>G21-V20+D28*G34</f>
        <v>0</v>
      </c>
      <c r="W29" s="23">
        <f>G22-W20+E28*G34</f>
        <v>0</v>
      </c>
    </row>
    <row r="30" spans="2:23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2:23" ht="18.75">
      <c r="B31" s="7"/>
      <c r="C31" s="38" t="s">
        <v>25</v>
      </c>
      <c r="D31" s="38"/>
      <c r="E31" s="38"/>
      <c r="F31" s="38"/>
      <c r="G31" s="38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2:23">
      <c r="B32" s="7"/>
      <c r="C32" s="27"/>
      <c r="D32" s="27"/>
      <c r="E32" s="27"/>
      <c r="F32" s="27"/>
      <c r="G32" s="2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2:23" ht="15.75">
      <c r="B33" s="7"/>
      <c r="C33" s="8" t="s">
        <v>17</v>
      </c>
      <c r="D33" s="8" t="s">
        <v>18</v>
      </c>
      <c r="E33" s="8" t="s">
        <v>19</v>
      </c>
      <c r="F33" s="8" t="s">
        <v>20</v>
      </c>
      <c r="G33" s="8" t="s">
        <v>21</v>
      </c>
      <c r="H33" s="7"/>
      <c r="I33" s="39" t="s">
        <v>36</v>
      </c>
      <c r="J33" s="40"/>
      <c r="K33" s="40"/>
      <c r="L33" s="40"/>
      <c r="M33" s="40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2:23">
      <c r="B34" s="7"/>
      <c r="C34" s="25">
        <v>0.5</v>
      </c>
      <c r="D34" s="25">
        <v>0.5</v>
      </c>
      <c r="E34" s="25"/>
      <c r="F34" s="25"/>
      <c r="G34" s="25"/>
      <c r="H34" s="7"/>
      <c r="I34" s="36"/>
      <c r="J34" s="37"/>
      <c r="K34" s="37"/>
      <c r="L34" s="37"/>
      <c r="M34" s="3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2:23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2:23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2:23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2:23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2:2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2:23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2:23">
      <c r="B41" s="7"/>
      <c r="C41" s="7"/>
      <c r="D41" s="7"/>
      <c r="E41" s="7"/>
      <c r="F41" s="7"/>
      <c r="G41" s="7"/>
      <c r="H41" s="7"/>
      <c r="I41" s="21">
        <f t="shared" ref="I41:W41" si="1">SUM(I29:I40)</f>
        <v>0</v>
      </c>
      <c r="J41" s="21">
        <f t="shared" si="1"/>
        <v>0</v>
      </c>
      <c r="K41" s="21">
        <f t="shared" si="1"/>
        <v>0</v>
      </c>
      <c r="L41" s="17">
        <f t="shared" si="1"/>
        <v>0</v>
      </c>
      <c r="M41" s="22">
        <f t="shared" si="1"/>
        <v>0</v>
      </c>
      <c r="N41" s="22">
        <f t="shared" si="1"/>
        <v>0</v>
      </c>
      <c r="O41" s="17">
        <f t="shared" si="1"/>
        <v>0</v>
      </c>
      <c r="P41" s="21">
        <f t="shared" si="1"/>
        <v>0</v>
      </c>
      <c r="Q41" s="21">
        <f t="shared" si="1"/>
        <v>0</v>
      </c>
      <c r="R41" s="17">
        <f t="shared" si="1"/>
        <v>0</v>
      </c>
      <c r="S41" s="21">
        <f t="shared" si="1"/>
        <v>0</v>
      </c>
      <c r="T41" s="21">
        <f t="shared" si="1"/>
        <v>0</v>
      </c>
      <c r="U41" s="17">
        <f t="shared" si="1"/>
        <v>0</v>
      </c>
      <c r="V41" s="21">
        <f t="shared" si="1"/>
        <v>0</v>
      </c>
      <c r="W41" s="21">
        <f t="shared" si="1"/>
        <v>0</v>
      </c>
    </row>
    <row r="42" spans="2:23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2:23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2:23" hidden="1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</sheetData>
  <mergeCells count="17">
    <mergeCell ref="I34:M34"/>
    <mergeCell ref="C26:E26"/>
    <mergeCell ref="C31:G31"/>
    <mergeCell ref="I33:M33"/>
    <mergeCell ref="I26:W26"/>
    <mergeCell ref="I27:K27"/>
    <mergeCell ref="L27:N27"/>
    <mergeCell ref="O27:Q27"/>
    <mergeCell ref="R27:T27"/>
    <mergeCell ref="U27:W27"/>
    <mergeCell ref="B2:G2"/>
    <mergeCell ref="I2:W2"/>
    <mergeCell ref="I3:K3"/>
    <mergeCell ref="L3:N3"/>
    <mergeCell ref="O3:Q3"/>
    <mergeCell ref="R3:T3"/>
    <mergeCell ref="U3:W3"/>
  </mergeCells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E23"/>
  <sheetViews>
    <sheetView workbookViewId="0">
      <selection activeCell="C23" sqref="C23"/>
    </sheetView>
  </sheetViews>
  <sheetFormatPr baseColWidth="10" defaultRowHeight="15"/>
  <sheetData>
    <row r="1" spans="1:5">
      <c r="A1" s="41" t="s">
        <v>3</v>
      </c>
      <c r="B1" s="41"/>
      <c r="C1" s="41"/>
      <c r="D1" s="41"/>
    </row>
    <row r="2" spans="1:5">
      <c r="A2" s="2" t="s">
        <v>4</v>
      </c>
      <c r="B2" s="3" t="s">
        <v>0</v>
      </c>
      <c r="C2" s="3" t="s">
        <v>1</v>
      </c>
      <c r="D2" s="3" t="s">
        <v>2</v>
      </c>
      <c r="E2" s="26" t="s">
        <v>27</v>
      </c>
    </row>
    <row r="3" spans="1:5">
      <c r="A3" t="s">
        <v>5</v>
      </c>
      <c r="B3" s="1">
        <v>2000</v>
      </c>
      <c r="C3" s="1">
        <v>2000</v>
      </c>
      <c r="D3" s="1">
        <v>0</v>
      </c>
      <c r="E3" s="1">
        <v>202</v>
      </c>
    </row>
    <row r="4" spans="1:5">
      <c r="A4" t="s">
        <v>6</v>
      </c>
      <c r="B4" s="1">
        <v>3000</v>
      </c>
      <c r="C4" s="1">
        <v>1000</v>
      </c>
      <c r="D4" s="1">
        <v>0</v>
      </c>
      <c r="E4" s="1">
        <v>204</v>
      </c>
    </row>
    <row r="5" spans="1:5">
      <c r="A5" t="s">
        <v>7</v>
      </c>
      <c r="B5" s="1">
        <v>6000</v>
      </c>
      <c r="C5" s="1">
        <v>6000</v>
      </c>
      <c r="D5" s="1">
        <v>0</v>
      </c>
      <c r="E5" s="1">
        <v>203</v>
      </c>
    </row>
    <row r="6" spans="1:5">
      <c r="A6" t="s">
        <v>8</v>
      </c>
      <c r="B6" s="1">
        <v>6000</v>
      </c>
      <c r="C6" s="1">
        <v>4000</v>
      </c>
      <c r="D6" s="1">
        <v>0</v>
      </c>
      <c r="E6" s="1">
        <v>205</v>
      </c>
    </row>
    <row r="7" spans="1:5">
      <c r="A7" t="s">
        <v>9</v>
      </c>
      <c r="B7" s="1">
        <v>20000</v>
      </c>
      <c r="C7" s="1">
        <v>7000</v>
      </c>
      <c r="D7" s="1">
        <v>2000</v>
      </c>
      <c r="E7" s="1">
        <v>206</v>
      </c>
    </row>
    <row r="8" spans="1:5">
      <c r="A8" t="s">
        <v>10</v>
      </c>
      <c r="B8" s="1">
        <v>45000</v>
      </c>
      <c r="C8" s="1">
        <v>15000</v>
      </c>
      <c r="D8" s="1">
        <v>0</v>
      </c>
      <c r="E8" s="1">
        <v>207</v>
      </c>
    </row>
    <row r="9" spans="1:5">
      <c r="A9" t="s">
        <v>11</v>
      </c>
      <c r="B9" s="1">
        <v>30000</v>
      </c>
      <c r="C9" s="1">
        <v>40000</v>
      </c>
      <c r="D9" s="1">
        <v>15000</v>
      </c>
      <c r="E9" s="1">
        <v>215</v>
      </c>
    </row>
    <row r="10" spans="1:5">
      <c r="A10" t="s">
        <v>12</v>
      </c>
      <c r="B10" s="1">
        <v>50000</v>
      </c>
      <c r="C10" s="1">
        <v>25000</v>
      </c>
      <c r="D10" s="1">
        <v>15000</v>
      </c>
      <c r="E10" s="1">
        <v>211</v>
      </c>
    </row>
    <row r="11" spans="1:5">
      <c r="A11" t="s">
        <v>13</v>
      </c>
      <c r="B11" s="1">
        <v>60000</v>
      </c>
      <c r="C11" s="1">
        <v>50000</v>
      </c>
      <c r="D11" s="1">
        <v>15000</v>
      </c>
      <c r="E11" s="1">
        <v>213</v>
      </c>
    </row>
    <row r="12" spans="1:5">
      <c r="A12" t="s">
        <v>14</v>
      </c>
      <c r="B12" s="1">
        <v>5000000</v>
      </c>
      <c r="C12" s="1">
        <v>4000000</v>
      </c>
      <c r="D12" s="1">
        <v>1000000</v>
      </c>
      <c r="E12" s="1">
        <v>214</v>
      </c>
    </row>
    <row r="13" spans="1:5">
      <c r="A13" t="s">
        <v>16</v>
      </c>
      <c r="B13" s="1">
        <v>10000</v>
      </c>
      <c r="C13" s="1">
        <v>6000</v>
      </c>
      <c r="D13" s="1">
        <v>2000</v>
      </c>
      <c r="E13" s="1">
        <v>209</v>
      </c>
    </row>
    <row r="14" spans="1:5">
      <c r="A14" t="s">
        <v>28</v>
      </c>
      <c r="B14" s="1">
        <v>0</v>
      </c>
      <c r="C14" s="1">
        <v>1000</v>
      </c>
      <c r="D14" s="1">
        <v>0</v>
      </c>
      <c r="E14" s="1">
        <v>210</v>
      </c>
    </row>
    <row r="15" spans="1:5">
      <c r="A15" t="s">
        <v>29</v>
      </c>
      <c r="B15" s="1">
        <v>10000</v>
      </c>
      <c r="C15" s="1">
        <v>20000</v>
      </c>
      <c r="D15" s="1">
        <v>10000</v>
      </c>
      <c r="E15" s="1">
        <v>208</v>
      </c>
    </row>
    <row r="16" spans="1:5">
      <c r="A16" t="s">
        <v>32</v>
      </c>
      <c r="B16" s="1">
        <v>8000</v>
      </c>
      <c r="C16" s="1">
        <v>15000</v>
      </c>
      <c r="D16" s="1">
        <v>8000</v>
      </c>
    </row>
    <row r="17" spans="1:5">
      <c r="A17" t="s">
        <v>31</v>
      </c>
      <c r="B17" s="1">
        <v>85000</v>
      </c>
      <c r="C17" s="1">
        <v>55000</v>
      </c>
      <c r="D17" s="1">
        <v>20000</v>
      </c>
    </row>
    <row r="20" spans="1:5">
      <c r="A20">
        <v>159</v>
      </c>
      <c r="B20">
        <f>A20*B7</f>
        <v>3180000</v>
      </c>
      <c r="C20">
        <f>A20*C7</f>
        <v>1113000</v>
      </c>
      <c r="D20">
        <f>D7*A20</f>
        <v>318000</v>
      </c>
      <c r="E20" t="s">
        <v>34</v>
      </c>
    </row>
    <row r="21" spans="1:5">
      <c r="A21">
        <v>2</v>
      </c>
      <c r="B21">
        <f>A21*B8</f>
        <v>90000</v>
      </c>
      <c r="C21">
        <f>A21*C8</f>
        <v>30000</v>
      </c>
      <c r="E21" t="s">
        <v>33</v>
      </c>
    </row>
    <row r="22" spans="1:5">
      <c r="A22">
        <v>173</v>
      </c>
      <c r="B22">
        <f>A22*B16</f>
        <v>1384000</v>
      </c>
      <c r="C22">
        <f>A22*C16</f>
        <v>2595000</v>
      </c>
      <c r="D22">
        <f>A22*D16</f>
        <v>1384000</v>
      </c>
      <c r="E22" t="s">
        <v>35</v>
      </c>
    </row>
    <row r="23" spans="1:5">
      <c r="B23">
        <f>SUM(B20:B22)</f>
        <v>4654000</v>
      </c>
      <c r="C23">
        <f>SUM(C20:C22)</f>
        <v>3738000</v>
      </c>
      <c r="D23">
        <f>SUM(D20:D22)</f>
        <v>1702000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5"/>
  <cols>
    <col min="1" max="1" width="50.42578125" bestFit="1" customWidth="1"/>
    <col min="2" max="2" width="12.85546875" customWidth="1"/>
    <col min="3" max="3" width="22.140625" bestFit="1" customWidth="1"/>
    <col min="4" max="4" width="15.28515625" bestFit="1" customWidth="1"/>
    <col min="5" max="5" width="3.140625" customWidth="1"/>
    <col min="6" max="6" width="4.42578125" customWidth="1"/>
  </cols>
  <sheetData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A17"/>
  <sheetViews>
    <sheetView workbookViewId="0">
      <selection activeCell="A21" sqref="A21"/>
    </sheetView>
  </sheetViews>
  <sheetFormatPr baseColWidth="10" defaultRowHeight="15"/>
  <cols>
    <col min="1" max="6" width="15.7109375" customWidth="1"/>
  </cols>
  <sheetData>
    <row r="1" spans="1:1">
      <c r="A1" t="s">
        <v>4</v>
      </c>
    </row>
    <row r="3" spans="1:1">
      <c r="A3" t="s">
        <v>5</v>
      </c>
    </row>
    <row r="4" spans="1:1">
      <c r="A4" t="s">
        <v>6</v>
      </c>
    </row>
    <row r="5" spans="1:1">
      <c r="A5" t="s">
        <v>7</v>
      </c>
    </row>
    <row r="6" spans="1:1">
      <c r="A6" t="s">
        <v>8</v>
      </c>
    </row>
    <row r="7" spans="1:1">
      <c r="A7" t="s">
        <v>9</v>
      </c>
    </row>
    <row r="8" spans="1:1">
      <c r="A8" t="s">
        <v>10</v>
      </c>
    </row>
    <row r="9" spans="1:1">
      <c r="A9" t="s">
        <v>11</v>
      </c>
    </row>
    <row r="10" spans="1:1">
      <c r="A10" t="s">
        <v>12</v>
      </c>
    </row>
    <row r="11" spans="1:1">
      <c r="A11" t="s">
        <v>13</v>
      </c>
    </row>
    <row r="12" spans="1:1">
      <c r="A12" t="s">
        <v>14</v>
      </c>
    </row>
    <row r="13" spans="1:1">
      <c r="A13" t="s">
        <v>16</v>
      </c>
    </row>
    <row r="14" spans="1:1">
      <c r="A14" t="s">
        <v>28</v>
      </c>
    </row>
    <row r="15" spans="1:1">
      <c r="A15" t="s">
        <v>29</v>
      </c>
    </row>
    <row r="16" spans="1:1">
      <c r="A16" t="s">
        <v>30</v>
      </c>
    </row>
    <row r="17" spans="1:1">
      <c r="A17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47</vt:i4>
      </vt:variant>
    </vt:vector>
  </HeadingPairs>
  <TitlesOfParts>
    <vt:vector size="51" baseType="lpstr">
      <vt:lpstr>AKS</vt:lpstr>
      <vt:lpstr>Schiffe</vt:lpstr>
      <vt:lpstr>API Data</vt:lpstr>
      <vt:lpstr>APIFilteredData</vt:lpstr>
      <vt:lpstr>'API Data'!_?apiid_cr_de_150_4ce341eae62d4bb416f7feb60f1bde07f00c564f_rawOut_on</vt:lpstr>
      <vt:lpstr>'API Data'!_?apiid_cr_de_150_4ce341eae62d4bb416f7feb60f1bde07f00c564f_rawOut_on_1</vt:lpstr>
      <vt:lpstr>'API Data'!ExterneDaten_1</vt:lpstr>
      <vt:lpstr>'API Data'!ExterneDaten_10</vt:lpstr>
      <vt:lpstr>'API Data'!ExterneDaten_11</vt:lpstr>
      <vt:lpstr>'API Data'!ExterneDaten_12</vt:lpstr>
      <vt:lpstr>'API Data'!ExterneDaten_13</vt:lpstr>
      <vt:lpstr>'API Data'!ExterneDaten_14</vt:lpstr>
      <vt:lpstr>'API Data'!ExterneDaten_15</vt:lpstr>
      <vt:lpstr>'API Data'!ExterneDaten_16</vt:lpstr>
      <vt:lpstr>'API Data'!ExterneDaten_17</vt:lpstr>
      <vt:lpstr>'API Data'!ExterneDaten_18</vt:lpstr>
      <vt:lpstr>'API Data'!ExterneDaten_19</vt:lpstr>
      <vt:lpstr>'API Data'!ExterneDaten_2</vt:lpstr>
      <vt:lpstr>'API Data'!ExterneDaten_20</vt:lpstr>
      <vt:lpstr>'API Data'!ExterneDaten_21</vt:lpstr>
      <vt:lpstr>'API Data'!ExterneDaten_22</vt:lpstr>
      <vt:lpstr>'API Data'!ExterneDaten_23</vt:lpstr>
      <vt:lpstr>'API Data'!ExterneDaten_24</vt:lpstr>
      <vt:lpstr>'API Data'!ExterneDaten_25</vt:lpstr>
      <vt:lpstr>'API Data'!ExterneDaten_26</vt:lpstr>
      <vt:lpstr>'API Data'!ExterneDaten_27</vt:lpstr>
      <vt:lpstr>'API Data'!ExterneDaten_28</vt:lpstr>
      <vt:lpstr>'API Data'!ExterneDaten_29</vt:lpstr>
      <vt:lpstr>'API Data'!ExterneDaten_3</vt:lpstr>
      <vt:lpstr>'API Data'!ExterneDaten_30</vt:lpstr>
      <vt:lpstr>'API Data'!ExterneDaten_31</vt:lpstr>
      <vt:lpstr>'API Data'!ExterneDaten_32</vt:lpstr>
      <vt:lpstr>'API Data'!ExterneDaten_33</vt:lpstr>
      <vt:lpstr>'API Data'!ExterneDaten_34</vt:lpstr>
      <vt:lpstr>'API Data'!ExterneDaten_35</vt:lpstr>
      <vt:lpstr>'API Data'!ExterneDaten_36</vt:lpstr>
      <vt:lpstr>'API Data'!ExterneDaten_37</vt:lpstr>
      <vt:lpstr>'API Data'!ExterneDaten_38</vt:lpstr>
      <vt:lpstr>'API Data'!ExterneDaten_39</vt:lpstr>
      <vt:lpstr>'API Data'!ExterneDaten_4</vt:lpstr>
      <vt:lpstr>'API Data'!ExterneDaten_40</vt:lpstr>
      <vt:lpstr>'API Data'!ExterneDaten_41</vt:lpstr>
      <vt:lpstr>'API Data'!ExterneDaten_42</vt:lpstr>
      <vt:lpstr>'API Data'!ExterneDaten_43</vt:lpstr>
      <vt:lpstr>'API Data'!ExterneDaten_44</vt:lpstr>
      <vt:lpstr>'API Data'!ExterneDaten_45</vt:lpstr>
      <vt:lpstr>'API Data'!ExterneDaten_5</vt:lpstr>
      <vt:lpstr>'API Data'!ExterneDaten_6</vt:lpstr>
      <vt:lpstr>'API Data'!ExterneDaten_7</vt:lpstr>
      <vt:lpstr>'API Data'!ExterneDaten_8</vt:lpstr>
      <vt:lpstr>'API Data'!ExterneDaten_9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</dc:creator>
  <cp:lastModifiedBy>jan</cp:lastModifiedBy>
  <dcterms:created xsi:type="dcterms:W3CDTF">2017-12-09T14:43:07Z</dcterms:created>
  <dcterms:modified xsi:type="dcterms:W3CDTF">2022-07-11T20:22:35Z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e939ff5e-8aa2-490d-9604-e2469e8217b1</vt:lpwstr>
  </property>
</Properties>
</file>