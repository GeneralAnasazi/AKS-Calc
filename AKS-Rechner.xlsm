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75" windowWidth="15315" windowHeight="5700"/>
  </bookViews>
  <sheets>
    <sheet name="AKS" sheetId="1" r:id="rId1"/>
    <sheet name="Schiffe" sheetId="2" r:id="rId2"/>
    <sheet name="API Data" sheetId="4" r:id="rId3"/>
    <sheet name="APIFilteredData" sheetId="5" r:id="rId4"/>
  </sheets>
  <functionGroups builtInGroupCount="17"/>
  <definedNames>
    <definedName name="_?apiid_cr_de_150_4ce341eae62d4bb416f7feb60f1bde07f00c564f_rawOut_on" localSheetId="2">'API Data'!$A$1:$F$1788</definedName>
    <definedName name="_?apiid_cr_de_150_4ce341eae62d4bb416f7feb60f1bde07f00c564f_rawOut_on_1" localSheetId="2">'API Data'!$A$1:$A$6</definedName>
    <definedName name="ExterneDaten_1" localSheetId="2">'API Data'!$A$1:$F$1788</definedName>
    <definedName name="ExterneDaten_10" localSheetId="2">'API Data'!$A$1:$F$1788</definedName>
    <definedName name="ExterneDaten_11" localSheetId="2">'API Data'!$A$1:$F$1788</definedName>
    <definedName name="ExterneDaten_12" localSheetId="2">'API Data'!$A$1:$F$1788</definedName>
    <definedName name="ExterneDaten_13" localSheetId="2">'API Data'!$A$1:$F$1788</definedName>
    <definedName name="ExterneDaten_14" localSheetId="2">'API Data'!$A$1:$F$1788</definedName>
    <definedName name="ExterneDaten_15" localSheetId="2">'API Data'!$A$1:$F$1788</definedName>
    <definedName name="ExterneDaten_16" localSheetId="2">'API Data'!$A$1:$F$1788</definedName>
    <definedName name="ExterneDaten_17" localSheetId="2">'API Data'!$A$1:$F$1788</definedName>
    <definedName name="ExterneDaten_18" localSheetId="2">'API Data'!$A$1:$F$1788</definedName>
    <definedName name="ExterneDaten_19" localSheetId="2">'API Data'!$A$1:$F$1788</definedName>
    <definedName name="ExterneDaten_2" localSheetId="2">'API Data'!$A$1:$F$1788</definedName>
    <definedName name="ExterneDaten_20" localSheetId="2">'API Data'!$A$1:$F$1788</definedName>
    <definedName name="ExterneDaten_21" localSheetId="2">'API Data'!$A$1:$F$1788</definedName>
    <definedName name="ExterneDaten_22" localSheetId="2">'API Data'!$A$1:$F$1788</definedName>
    <definedName name="ExterneDaten_23" localSheetId="2">'API Data'!$A$1:$F$1788</definedName>
    <definedName name="ExterneDaten_24" localSheetId="2">'API Data'!$A$1:$F$1788</definedName>
    <definedName name="ExterneDaten_25" localSheetId="2">'API Data'!$A$1:$A$6</definedName>
    <definedName name="ExterneDaten_26" localSheetId="2">'API Data'!$A$1:$A$6</definedName>
    <definedName name="ExterneDaten_27" localSheetId="2">'API Data'!$A$1:$A$6</definedName>
    <definedName name="ExterneDaten_28" localSheetId="2">'API Data'!$A$1:$F$1788</definedName>
    <definedName name="ExterneDaten_29" localSheetId="2">'API Data'!$A$1:$F$1788</definedName>
    <definedName name="ExterneDaten_3" localSheetId="2">'API Data'!$A$1:$F$1788</definedName>
    <definedName name="ExterneDaten_30" localSheetId="2">'API Data'!$A$1:$F$1788</definedName>
    <definedName name="ExterneDaten_31" localSheetId="2">'API Data'!$A$1:$F$1788</definedName>
    <definedName name="ExterneDaten_32" localSheetId="2">'API Data'!$A$1:$F$1788</definedName>
    <definedName name="ExterneDaten_33" localSheetId="2">'API Data'!$A$1:$F$1788</definedName>
    <definedName name="ExterneDaten_34" localSheetId="2">'API Data'!$A$1:$F$1788</definedName>
    <definedName name="ExterneDaten_35" localSheetId="2">'API Data'!$A$1:$F$1788</definedName>
    <definedName name="ExterneDaten_36" localSheetId="2">'API Data'!$A$1:$F$1788</definedName>
    <definedName name="ExterneDaten_37" localSheetId="2">'API Data'!$A$1:$F$1788</definedName>
    <definedName name="ExterneDaten_38" localSheetId="2">'API Data'!$A$1:$F$1788</definedName>
    <definedName name="ExterneDaten_39" localSheetId="2">'API Data'!$A$1:$F$938</definedName>
    <definedName name="ExterneDaten_4" localSheetId="2">'API Data'!$A$1:$A$5</definedName>
    <definedName name="ExterneDaten_40" localSheetId="2">'API Data'!$A$1:$F$938</definedName>
    <definedName name="ExterneDaten_41" localSheetId="2">'API Data'!$A$1:$F$938</definedName>
    <definedName name="ExterneDaten_42" localSheetId="2">'API Data'!$A$1:$F$938</definedName>
    <definedName name="ExterneDaten_43" localSheetId="2">'API Data'!$A$1:$F$938</definedName>
    <definedName name="ExterneDaten_44" localSheetId="2">'API Data'!$A$1:$F$938</definedName>
    <definedName name="ExterneDaten_45" localSheetId="2">'API Data'!$A$1:$F$938</definedName>
    <definedName name="ExterneDaten_5" localSheetId="2">'API Data'!$A$1:$A$5</definedName>
    <definedName name="ExterneDaten_6" localSheetId="2">'API Data'!$A$1:$F$1788</definedName>
    <definedName name="ExterneDaten_7" localSheetId="2">'API Data'!$A$1:$F$1788</definedName>
    <definedName name="ExterneDaten_8" localSheetId="2">'API Data'!$A$1:$F$1788</definedName>
    <definedName name="ExterneDaten_9" localSheetId="2">'API Data'!$A$1:$F$1788</definedName>
  </definedNames>
  <calcPr calcId="145621"/>
</workbook>
</file>

<file path=xl/calcChain.xml><?xml version="1.0" encoding="utf-8"?>
<calcChain xmlns="http://schemas.openxmlformats.org/spreadsheetml/2006/main">
  <c r="G19" i="1" l="1"/>
  <c r="F19" i="1"/>
  <c r="E19" i="1"/>
  <c r="D19" i="1"/>
  <c r="C19" i="1"/>
  <c r="G18" i="1"/>
  <c r="F18" i="1"/>
  <c r="E18" i="1"/>
  <c r="D18" i="1"/>
  <c r="C18" i="1"/>
  <c r="W18" i="1" l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G20" i="1"/>
  <c r="F20" i="1"/>
  <c r="E20" i="1"/>
  <c r="C20" i="1"/>
  <c r="D20" i="1"/>
  <c r="C26" i="1" l="1"/>
  <c r="R27" i="1" s="1"/>
  <c r="R39" i="1" s="1"/>
  <c r="D26" i="1"/>
  <c r="M27" i="1" s="1"/>
  <c r="M39" i="1" s="1"/>
  <c r="E26" i="1"/>
  <c r="N27" i="1" s="1"/>
  <c r="N39" i="1" s="1"/>
  <c r="I27" i="1" l="1"/>
  <c r="I39" i="1" s="1"/>
  <c r="L27" i="1"/>
  <c r="L39" i="1" s="1"/>
  <c r="U27" i="1"/>
  <c r="U39" i="1" s="1"/>
  <c r="O27" i="1"/>
  <c r="O39" i="1" s="1"/>
  <c r="J27" i="1"/>
  <c r="J39" i="1" s="1"/>
  <c r="V27" i="1"/>
  <c r="V39" i="1" s="1"/>
  <c r="S27" i="1"/>
  <c r="S39" i="1" s="1"/>
  <c r="K27" i="1"/>
  <c r="K39" i="1" s="1"/>
  <c r="P27" i="1"/>
  <c r="P39" i="1" s="1"/>
  <c r="T27" i="1"/>
  <c r="T39" i="1" s="1"/>
  <c r="Q27" i="1"/>
  <c r="Q39" i="1" s="1"/>
  <c r="W27" i="1"/>
  <c r="W39" i="1" s="1"/>
</calcChain>
</file>

<file path=xl/connections.xml><?xml version="1.0" encoding="utf-8"?>
<connections xmlns="http://schemas.openxmlformats.org/spreadsheetml/2006/main">
  <connection id="1" name="Verbindung" type="4" refreshedVersion="4" background="1" saveData="1">
    <webPr sourceData="1" parsePre="1" consecutive="1" xl2000="1" url="https://nomoreangel.de/api-reader/?apiid=cr-de-150-4ce341eae62d4bb416f7feb60f1bde07f00c564f&amp;rawOut=on"/>
  </connection>
  <connection id="2" name="Verbindung1" type="4" refreshedVersion="4" background="1" refreshOnLoad="1" saveData="1">
    <webPr sourceData="1" parsePre="1" consecutive="1" xl2000="1" url="https://nomoreangel.de/api-reader/"/>
  </connection>
  <connection id="3" name="Verbindung10" type="4" refreshedVersion="4" saveData="1">
    <webPr sourceData="1" parsePre="1" consecutive="1" xl2000="1" url="https://nomoreangel.de/api-reader/?apiid=cr-de-150-4ce341eae62d4bb416f7feb60f1bde07f00c564f&amp;rawOut=on"/>
  </connection>
  <connection id="4" name="Verbindung11" type="4" refreshedVersion="4" saveData="1">
    <webPr sourceData="1" parsePre="1" consecutive="1" xl2000="1" url="https://nomoreangel.de/api-reader/?apiid=cr-de-150-4ce341eae62d4bb416f7feb60f1bde07f00c564f&amp;rawOut=on"/>
  </connection>
  <connection id="5" name="Verbindung12" type="4" refreshedVersion="4" saveData="1">
    <webPr sourceData="1" parsePre="1" consecutive="1" xl2000="1" url="https://nomoreangel.de/api-reader/?apiid=cr-de-150-4ce341eae62d4bb416f7feb60f1bde07f00c564f&amp;rawOut=on"/>
  </connection>
  <connection id="6" name="Verbindung13" type="4" refreshedVersion="4" saveData="1">
    <webPr sourceData="1" parsePre="1" consecutive="1" xl2000="1" url="https://nomoreangel.de/api-reader/?apiid=cr-de-150-4ce341eae62d4bb416f7feb60f1bde07f00c564f&amp;rawOut=on"/>
  </connection>
  <connection id="7" name="Verbindung14" type="4" refreshedVersion="4" saveData="1">
    <webPr sourceData="1" parsePre="1" consecutive="1" xl2000="1" url="https://nomoreangel.de/api-reader/?apiid=cr-de-150-4ce341eae62d4bb416f7feb60f1bde07f00c564f&amp;rawOut=on"/>
  </connection>
  <connection id="8" name="Verbindung15" type="4" refreshedVersion="4" saveData="1">
    <webPr sourceData="1" parsePre="1" consecutive="1" xl2000="1" url="https://nomoreangel.de/api-reader/?apiid=cr-de-150-4ce341eae62d4bb416f7feb60f1bde07f00c564f&amp;rawOut=on"/>
  </connection>
  <connection id="9" name="Verbindung16" type="4" refreshedVersion="4" saveData="1">
    <webPr sourceData="1" parsePre="1" consecutive="1" xl2000="1" url="https://nomoreangel.de/api-reader/?apiid=cr-de-150-4ce341eae62d4bb416f7feb60f1bde07f00c564f&amp;rawOut=on"/>
  </connection>
  <connection id="10" name="Verbindung17" type="4" refreshedVersion="4" saveData="1">
    <webPr sourceData="1" parsePre="1" consecutive="1" xl2000="1" url="https://nomoreangel.de/api-reader/?apiid=cr-de-150-4ce341eae62d4bb416f7feb60f1bde07f00c564f&amp;rawOut=on"/>
  </connection>
  <connection id="11" name="Verbindung18" type="4" refreshedVersion="4" saveData="1">
    <webPr sourceData="1" parsePre="1" consecutive="1" xl2000="1" url="https://nomoreangel.de/api-reader/?apiid=cr-de-150-4ce341eae62d4bb416f7feb60f1bde07f00c564f&amp;rawOut=on"/>
  </connection>
  <connection id="12" name="Verbindung19" type="4" refreshedVersion="4" saveData="1">
    <webPr sourceData="1" parsePre="1" consecutive="1" xl2000="1" url="https://nomoreangel.de/api-reader/?apiid=cr-de-150-4ce341eae62d4bb416f7feb60f1bde07f00c564f&amp;rawOut=on"/>
  </connection>
  <connection id="13" name="Verbindung2" type="4" refreshedVersion="4" saveData="1">
    <webPr sourceData="1" parsePre="1" consecutive="1" xl2000="1" url="https://nomoreangel.de/api-reader/?apiid=cr-de-150-4ce341eae62d4bb416f7feb60f1bde07f00c564f&amp;rawOut=on"/>
  </connection>
  <connection id="14" name="Verbindung20" type="4" refreshedVersion="4" saveData="1">
    <webPr sourceData="1" parsePre="1" consecutive="1" xl2000="1" url="https://nomoreangel.de/api-reader/?apiid=cr-de-150-4ce341eae62d4bb416f7feb60f1bde07f00c564f&amp;rawOut=on"/>
  </connection>
  <connection id="15" name="Verbindung21" type="4" refreshedVersion="4" saveData="1">
    <webPr sourceData="1" parsePre="1" consecutive="1" xl2000="1" url="https://nomoreangel.de/api-reader/?apiid=cr-de-150-4ce341eae62d4bb416f7feb60f1bde07f00c564f&amp;rawOut=on"/>
  </connection>
  <connection id="16" name="Verbindung22" type="4" refreshedVersion="4" saveData="1">
    <webPr sourceData="1" parsePre="1" consecutive="1" xl2000="1" url="https://nomoreangel.de/api-reader/?apiid=cr-de-150-4ce341eae62d4bb416f7feb60f1bde07f00c564f&amp;rawOut=on"/>
  </connection>
  <connection id="17" name="Verbindung23" type="4" refreshedVersion="4" saveData="1">
    <webPr sourceData="1" parsePre="1" consecutive="1" xl2000="1" url="https://nomoreangel.de/api-reader/?apiid=cr-de-150-4ce341eae62d4bb416f7feb60f1bde07f00c564f&amp;rawOut=on"/>
  </connection>
  <connection id="18" name="Verbindung24" type="4" refreshedVersion="4" saveData="1">
    <webPr sourceData="1" parsePre="1" consecutive="1" xl2000="1" url="https://nomoreangel.de/api-reader/?apiid=cr-de-150-4ce341eae62d4bb416f7feb60f1bde07f00c564f&amp;rawOut=on"/>
  </connection>
  <connection id="19" name="Verbindung25" type="4" refreshedVersion="4" saveData="1">
    <webPr sourceData="1" parsePre="1" consecutive="1" xl2000="1" url="https://nomoreangel.de/api-reader/?apiid=cr-de-150-4ce341eae62d4bb416f7feb60f1bde07f00c564f&amp;rawOut=on"/>
  </connection>
  <connection id="20" name="Verbindung26" type="4" refreshedVersion="4" saveData="1">
    <webPr sourceData="1" parsePre="1" consecutive="1" xl2000="1" url="https://nomoreangel.de/api-reader/?apiid=&amp;rawOut=on"/>
  </connection>
  <connection id="21" name="Verbindung27" type="4" refreshedVersion="4" saveData="1">
    <webPr sourceData="1" parsePre="1" consecutive="1" xl2000="1" url="https://nomoreangel.de/api-reader/?apiid=&amp;rawOut=on"/>
  </connection>
  <connection id="22" name="Verbindung28" type="4" refreshedVersion="4" saveData="1">
    <webPr sourceData="1" parsePre="1" consecutive="1" xl2000="1" url="https://nomoreangel.de/api-reader/?apiid=&amp;rawOut=on"/>
  </connection>
  <connection id="23" name="Verbindung29" type="4" refreshedVersion="4" saveData="1">
    <webPr sourceData="1" parsePre="1" consecutive="1" xl2000="1" url="https://nomoreangel.de/api-reader/?apiid=cr-de-150-4ce341eae62d4bb416f7feb60f1bde07f00c564f&amp;rawOut=on"/>
  </connection>
  <connection id="24" name="Verbindung3" type="4" refreshedVersion="4" saveData="1">
    <webPr sourceData="1" parsePre="1" consecutive="1" xl2000="1" url="https://nomoreangel.de/api-reader/?apiid=cr-de-150-4ce341eae62d4bb416f7feb60f1bde07f00c564f&amp;rawOut=on"/>
  </connection>
  <connection id="25" name="Verbindung30" type="4" refreshedVersion="4" saveData="1">
    <webPr sourceData="1" parsePre="1" consecutive="1" xl2000="1" url="https://nomoreangel.de/api-reader/?apiid=cr-de-150-4ce341eae62d4bb416f7feb60f1bde07f00c564f&amp;rawOut=on"/>
  </connection>
  <connection id="26" name="Verbindung31" type="4" refreshedVersion="4" saveData="1">
    <webPr sourceData="1" parsePre="1" consecutive="1" xl2000="1" url="https://nomoreangel.de/api-reader/?apiid=cr-de-150-4ce341eae62d4bb416f7feb60f1bde07f00c564f&amp;rawOut=on"/>
  </connection>
  <connection id="27" name="Verbindung32" type="4" refreshedVersion="4" saveData="1">
    <webPr sourceData="1" parsePre="1" consecutive="1" xl2000="1" url="https://nomoreangel.de/api-reader/?apiid=cr-de-150-4ce341eae62d4bb416f7feb60f1bde07f00c564f&amp;rawOut=on"/>
  </connection>
  <connection id="28" name="Verbindung33" type="4" refreshedVersion="4" saveData="1">
    <webPr sourceData="1" parsePre="1" consecutive="1" xl2000="1" url="https://nomoreangel.de/api-reader/?apiid=cr-de-150-4ce341eae62d4bb416f7feb60f1bde07f00c564f&amp;rawOut=on"/>
  </connection>
  <connection id="29" name="Verbindung34" type="4" refreshedVersion="4" saveData="1">
    <webPr sourceData="1" parsePre="1" consecutive="1" xl2000="1" url="https://nomoreangel.de/api-reader/?apiid=cr-de-150-4ce341eae62d4bb416f7feb60f1bde07f00c564f&amp;rawOut=on"/>
  </connection>
  <connection id="30" name="Verbindung35" type="4" refreshedVersion="4" saveData="1">
    <webPr sourceData="1" parsePre="1" consecutive="1" xl2000="1" url="https://nomoreangel.de/api-reader/?apiid=cr-de-150-4ce341eae62d4bb416f7feb60f1bde07f00c564f&amp;rawOut=on"/>
  </connection>
  <connection id="31" name="Verbindung36" type="4" refreshedVersion="4" saveData="1">
    <webPr sourceData="1" parsePre="1" consecutive="1" xl2000="1" url="https://nomoreangel.de/api-reader/?apiid=cr-de-150-4ce341eae62d4bb416f7feb60f1bde07f00c564f&amp;rawOut=on"/>
  </connection>
  <connection id="32" name="Verbindung37" type="4" refreshedVersion="4" saveData="1">
    <webPr sourceData="1" parsePre="1" consecutive="1" xl2000="1" url="https://nomoreangel.de/api-reader/?apiid=cr-de-150-4ce341eae62d4bb416f7feb60f1bde07f00c564f&amp;rawOut=on"/>
  </connection>
  <connection id="33" name="Verbindung38" type="4" refreshedVersion="4" saveData="1">
    <webPr sourceData="1" parsePre="1" consecutive="1" xl2000="1" url="https://nomoreangel.de/api-reader/?apiid=cr-de-150-4ce341eae62d4bb416f7feb60f1bde07f00c564f&amp;rawOut=on"/>
  </connection>
  <connection id="34" name="Verbindung39" type="4" refreshedVersion="4" saveData="1">
    <webPr sourceData="1" parsePre="1" consecutive="1" xl2000="1" url="https://nomoreangel.de/api-reader/?apiid=cr-de-150-4ce341eae62d4bb416f7feb60f1bde07f00c564f&amp;rawOut=on"/>
  </connection>
  <connection id="35" name="Verbindung4" type="4" refreshedVersion="4" saveData="1">
    <webPr sourceData="1" parsePre="1" consecutive="1" xl2000="1" url="https://nomoreangel.de/api-reader/?apiid=cr-de-150-4ce341eae62d4bb416f7feb60f1bde07f00c564f&amp;rawOut=on"/>
  </connection>
  <connection id="36" name="Verbindung40" type="4" refreshedVersion="4" saveData="1">
    <webPr sourceData="1" parsePre="1" consecutive="1" xl2000="1" url="https://nomoreangel.de/api-reader/?apiid=cr-de-150-c7746c80b541c97eb839779820efdc74ed0c18ef&amp;rawOut=on"/>
  </connection>
  <connection id="37" name="Verbindung41" type="4" refreshedVersion="4" saveData="1">
    <webPr sourceData="1" parsePre="1" consecutive="1" xl2000="1" url="https://nomoreangel.de/api-reader/?apiid=cr-de-150-c7746c80b541c97eb839779820efdc74ed0c18ef&amp;rawOut=on"/>
  </connection>
  <connection id="38" name="Verbindung42" type="4" refreshedVersion="4" saveData="1">
    <webPr sourceData="1" parsePre="1" consecutive="1" xl2000="1" url="https://nomoreangel.de/api-reader/?apiid=cr-de-150-c7746c80b541c97eb839779820efdc74ed0c18ef&amp;rawOut=on"/>
  </connection>
  <connection id="39" name="Verbindung43" type="4" refreshedVersion="4" saveData="1">
    <webPr sourceData="1" parsePre="1" consecutive="1" xl2000="1" url="https://nomoreangel.de/api-reader/?apiid=cr-de-150-c7746c80b541c97eb839779820efdc74ed0c18ef&amp;rawOut=on"/>
  </connection>
  <connection id="40" name="Verbindung44" type="4" refreshedVersion="4" saveData="1">
    <webPr sourceData="1" parsePre="1" consecutive="1" xl2000="1" url="https://nomoreangel.de/api-reader/?apiid=cr-de-150-c7746c80b541c97eb839779820efdc74ed0c18ef&amp;rawOut=on"/>
  </connection>
  <connection id="41" name="Verbindung45" type="4" refreshedVersion="4" saveData="1">
    <webPr sourceData="1" parsePre="1" consecutive="1" xl2000="1" url="https://nomoreangel.de/api-reader/?apiid=cr-de-150-c7746c80b541c97eb839779820efdc74ed0c18ef&amp;rawOut=on"/>
  </connection>
  <connection id="42" name="Verbindung46" type="4" refreshedVersion="4" saveData="1">
    <webPr sourceData="1" parsePre="1" consecutive="1" xl2000="1" url="https://nomoreangel.de/api-reader/?apiid=cr-de-150-c7746c80b541c97eb839779820efdc74ed0c18ef&amp;rawOut=on"/>
  </connection>
  <connection id="43" name="Verbindung5" type="4" refreshedVersion="4" saveData="1">
    <webPr sourceData="1" parsePre="1" consecutive="1" xl2000="1" url="https://nomoreangel.de/api-reader/?apiid=cr-de-150-4ce341eae62d4bb416f7feb60f1bde07f00c564frawOut=on"/>
  </connection>
  <connection id="44" name="Verbindung6" type="4" refreshedVersion="4" saveData="1">
    <webPr sourceData="1" parsePre="1" consecutive="1" xl2000="1" url="https://nomoreangel.de/api-reader/?apiid=cr-de-150-4ce341eae62d4bb416f7feb60f1bde07f00c564frawOut=on"/>
  </connection>
  <connection id="45" name="Verbindung7" type="4" refreshedVersion="4" saveData="1">
    <webPr sourceData="1" parsePre="1" consecutive="1" xl2000="1" url="https://nomoreangel.de/api-reader/?apiid=cr-de-150-4ce341eae62d4bb416f7feb60f1bde07f00c564f&amp;rawOut=on"/>
  </connection>
  <connection id="46" name="Verbindung8" type="4" refreshedVersion="4" saveData="1">
    <webPr sourceData="1" parsePre="1" consecutive="1" xl2000="1" url="https://nomoreangel.de/api-reader/?apiid=cr-de-150-4ce341eae62d4bb416f7feb60f1bde07f00c564f&amp;rawOut=on"/>
  </connection>
  <connection id="47" name="Verbindung9" type="4" refreshedVersion="4" saveData="1">
    <webPr sourceData="1" parsePre="1" consecutive="1" xl2000="1" url="https://nomoreangel.de/api-reader/?apiid=cr-de-150-4ce341eae62d4bb416f7feb60f1bde07f00c564f&amp;rawOut=on"/>
  </connection>
</connections>
</file>

<file path=xl/sharedStrings.xml><?xml version="1.0" encoding="utf-8"?>
<sst xmlns="http://schemas.openxmlformats.org/spreadsheetml/2006/main" count="108" uniqueCount="31">
  <si>
    <t>Metall</t>
  </si>
  <si>
    <t>Kristall</t>
  </si>
  <si>
    <t>Deuterium</t>
  </si>
  <si>
    <t>Schiffe</t>
  </si>
  <si>
    <t>Name</t>
  </si>
  <si>
    <t>KT</t>
  </si>
  <si>
    <t>LJ</t>
  </si>
  <si>
    <t>GT</t>
  </si>
  <si>
    <t>SJ</t>
  </si>
  <si>
    <t>Xer</t>
  </si>
  <si>
    <t>SS</t>
  </si>
  <si>
    <t>SXer</t>
  </si>
  <si>
    <t>BB</t>
  </si>
  <si>
    <t>Zerri</t>
  </si>
  <si>
    <t>Rip</t>
  </si>
  <si>
    <t>Verluste</t>
  </si>
  <si>
    <t>Rec</t>
  </si>
  <si>
    <t>AKS-P1</t>
  </si>
  <si>
    <t>AKS-P2</t>
  </si>
  <si>
    <t>AKS-P3</t>
  </si>
  <si>
    <t>AKS-P4</t>
  </si>
  <si>
    <t>AKS-P5</t>
  </si>
  <si>
    <t>Deut</t>
  </si>
  <si>
    <t>Erbeutet Ressourcen</t>
  </si>
  <si>
    <t>Gewinn Gesamt</t>
  </si>
  <si>
    <t>Anteile AKS Partner</t>
  </si>
  <si>
    <t>Ressourcen Verteilung</t>
  </si>
  <si>
    <t>API Key</t>
  </si>
  <si>
    <t>Type</t>
  </si>
  <si>
    <t>Spio</t>
  </si>
  <si>
    <t>Kolo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</si>
</sst>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</cellStyleXfs>
  <cellXfs count="42">
    <xf numFmtId="0" fontId="0" fillId="0" borderId="0" xfId="0"/>
    <xf numFmtId="3" fontId="0" fillId="0" borderId="0" xfId="0" applyNumberFormat="1"/>
    <xf numFmtId="0" fontId="4" fillId="0" borderId="3" xfId="0" applyFont="1" applyBorder="1"/>
    <xf numFmtId="0" fontId="4" fillId="0" borderId="3" xfId="0" applyFont="1" applyBorder="1" applyAlignment="1">
      <alignment horizontal="center"/>
    </xf>
    <xf numFmtId="0" fontId="0" fillId="4" borderId="4" xfId="0" applyFill="1" applyBorder="1"/>
    <xf numFmtId="0" fontId="0" fillId="5" borderId="3" xfId="0" applyFill="1" applyBorder="1"/>
    <xf numFmtId="0" fontId="6" fillId="5" borderId="0" xfId="0" applyFont="1" applyFill="1" applyAlignment="1">
      <alignment horizontal="center"/>
    </xf>
    <xf numFmtId="0" fontId="0" fillId="4" borderId="0" xfId="0" applyFill="1"/>
    <xf numFmtId="0" fontId="4" fillId="5" borderId="3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7" xfId="0" applyFont="1" applyFill="1" applyBorder="1" applyAlignment="1">
      <alignment horizontal="center"/>
    </xf>
    <xf numFmtId="0" fontId="4" fillId="5" borderId="5" xfId="0" applyFont="1" applyFill="1" applyBorder="1"/>
    <xf numFmtId="0" fontId="4" fillId="5" borderId="6" xfId="0" applyFont="1" applyFill="1" applyBorder="1"/>
    <xf numFmtId="0" fontId="4" fillId="5" borderId="7" xfId="0" applyFont="1" applyFill="1" applyBorder="1"/>
    <xf numFmtId="3" fontId="2" fillId="2" borderId="1" xfId="2" applyNumberFormat="1"/>
    <xf numFmtId="3" fontId="0" fillId="4" borderId="4" xfId="0" applyNumberFormat="1" applyFill="1" applyBorder="1"/>
    <xf numFmtId="3" fontId="2" fillId="2" borderId="9" xfId="2" applyNumberFormat="1" applyBorder="1"/>
    <xf numFmtId="3" fontId="2" fillId="2" borderId="10" xfId="2" applyNumberFormat="1" applyBorder="1"/>
    <xf numFmtId="3" fontId="2" fillId="2" borderId="11" xfId="2" applyNumberFormat="1" applyBorder="1"/>
    <xf numFmtId="3" fontId="0" fillId="4" borderId="0" xfId="0" applyNumberFormat="1" applyFill="1"/>
    <xf numFmtId="3" fontId="0" fillId="4" borderId="0" xfId="0" applyNumberFormat="1" applyFill="1" applyBorder="1"/>
    <xf numFmtId="0" fontId="3" fillId="3" borderId="2" xfId="3"/>
    <xf numFmtId="3" fontId="3" fillId="3" borderId="2" xfId="3" applyNumberFormat="1"/>
    <xf numFmtId="9" fontId="2" fillId="2" borderId="1" xfId="1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5" borderId="0" xfId="0" applyFont="1" applyFill="1" applyBorder="1"/>
    <xf numFmtId="0" fontId="4" fillId="5" borderId="0" xfId="0" applyFont="1" applyFill="1" applyAlignment="1">
      <alignment horizontal="center"/>
    </xf>
    <xf numFmtId="3" fontId="3" fillId="3" borderId="2" xfId="3" applyNumberFormat="1" applyAlignment="1">
      <alignment horizontal="center"/>
    </xf>
    <xf numFmtId="0" fontId="6" fillId="5" borderId="0" xfId="0" applyFont="1" applyFill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0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0" fontId="4" fillId="6" borderId="0" xfId="0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2" fillId="2" borderId="12" xfId="2" applyBorder="1" applyAlignment="1">
      <alignment horizontal="center"/>
    </xf>
    <xf numFmtId="0" fontId="2" fillId="2" borderId="0" xfId="2" applyBorder="1" applyAlignment="1">
      <alignment horizontal="center"/>
    </xf>
    <xf numFmtId="0" fontId="6" fillId="7" borderId="0" xfId="0" applyFont="1" applyFill="1" applyAlignment="1">
      <alignment horizontal="center"/>
    </xf>
    <xf numFmtId="0" fontId="5" fillId="6" borderId="4" xfId="0" applyFont="1" applyFill="1" applyBorder="1" applyAlignment="1">
      <alignment horizontal="center"/>
    </xf>
    <xf numFmtId="0" fontId="5" fillId="6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4">
    <cellStyle name="Ausgabe" xfId="3" builtinId="21"/>
    <cellStyle name="Eingabe" xfId="2" builtinId="20"/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247650</xdr:colOff>
          <xdr:row>30</xdr:row>
          <xdr:rowOff>76200</xdr:rowOff>
        </xdr:from>
        <xdr:to>
          <xdr:col>14</xdr:col>
          <xdr:colOff>342900</xdr:colOff>
          <xdr:row>31</xdr:row>
          <xdr:rowOff>114300</xdr:rowOff>
        </xdr:to>
        <xdr:sp macro="" textlink="">
          <xdr:nvSpPr>
            <xdr:cNvPr id="2049" name="Load C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CR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30</xdr:row>
          <xdr:rowOff>76200</xdr:rowOff>
        </xdr:from>
        <xdr:to>
          <xdr:col>15</xdr:col>
          <xdr:colOff>438150</xdr:colOff>
          <xdr:row>31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eDaten_45" headers="0" backgroundRefresh="0" connectionId="4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eDaten_44" headers="0" backgroundRefresh="0" connectionId="4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eDaten_43" headers="0" backgroundRefres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eDaten_42" headers="0" backgroundRefresh="0" connectionId="3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eDaten_41" headers="0" backgroundRefresh="0" connectionId="3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eDaten_40" headers="0" backgroundRefresh="0" connectionId="3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eDaten_39" headers="0" backgroundRefresh="0" connectionId="3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?apiid=cr-de-150-4ce341eae62d4bb416f7feb60f1bde07f00c564f&amp;rawOut=on_1" refreshOnLoad="1" connectionId="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eDaten_9" headers="0" backgroundRefresh="0" connectionId="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eDaten_21" headers="0" backgroundRefresh="0" connectionId="1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eDaten_4" headers="0" backgroundRefresh="0" connectionId="4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eDaten_28" headers="0" backgroundRefresh="0" connectionId="2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eDaten_37" headers="0" backgroundRefresh="0" connectionId="3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eDaten_32" headers="0" backgroundRefresh="0" connectionId="2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eDaten_19" headers="0" backgroundRefresh="0" connectionId="1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eDaten_10" headers="0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eDaten_15" headers="0" backgroundRefresh="0" connectionId="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eDaten_16" headers="0" backgroundRefresh="0" connectionId="1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eDaten_26" headers="0" backgroundRefresh="0" connectionId="2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eDaten_31" headers="0" backgroundRefresh="0" connectionId="2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eDaten_36" headers="0" backgroundRefresh="0" connectionId="3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eDaten_24" headers="0" backgroundRefresh="0" connectionId="1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eDaten_17" headers="0" backgroundRefresh="0" connectionId="1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eDaten_30" headers="0" backgroundRefresh="0" connectionId="2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eDaten_5" headers="0" backgroundRefresh="0" connectionId="4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eDaten_20" headers="0" backgroundRefresh="0" connectionId="1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eDaten_3" headers="0" backgroundRefresh="0" connectionId="3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eDaten_25" headers="0" backgroundRefresh="0" connectionId="2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eDaten_35" headers="0" backgroundRefresh="0" connectionId="3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eDaten_13" headers="0" backgroundRefresh="0" connectionId="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eDaten_23" headers="0" backgroundRefresh="0" connectionId="1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eDaten_1" headers="0" backgroundRefres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eDaten_11" headers="0" backgroundRefresh="0" connectionId="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eDaten_29" headers="0" backgroundRefresh="0" connectionId="2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eDaten_34" headers="0" backgroundRefres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eDaten_18" headers="0" backgroundRefresh="0" connectionId="1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eDaten_6" headers="0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eDaten_22" headers="0" backgroundRefresh="0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?apiid=cr-de-150-4ce341eae62d4bb416f7feb60f1bde07f00c564f&amp;rawOut=on" fillFormulas="1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eDaten_38" headers="0" backgroundRefres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eDaten_33" headers="0" backgroundRefresh="0" connectionId="2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eDaten_14" headers="0" backgroundRefresh="0" connectionId="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eDaten_7" headers="0" backgroundRefres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eDaten_8" headers="0" backgroundRefres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eDaten_2" headers="0" backgroundRefresh="0" connectionId="2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eDaten_12" headers="0" backgroundRefresh="0" connectionId="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eDaten_27" headers="0" backgroundRefresh="0" connectionId="2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9" Type="http://schemas.openxmlformats.org/officeDocument/2006/relationships/queryTable" Target="../queryTables/queryTable38.xml"/><Relationship Id="rId21" Type="http://schemas.openxmlformats.org/officeDocument/2006/relationships/queryTable" Target="../queryTables/queryTable20.xml"/><Relationship Id="rId34" Type="http://schemas.openxmlformats.org/officeDocument/2006/relationships/queryTable" Target="../queryTables/queryTable33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GZ42"/>
  <sheetViews>
    <sheetView tabSelected="1" workbookViewId="0">
      <selection activeCell="G37" sqref="G37"/>
    </sheetView>
  </sheetViews>
  <sheetFormatPr baseColWidth="10" defaultColWidth="0" defaultRowHeight="15" zeroHeight="1" x14ac:dyDescent="0.25"/>
  <cols>
    <col min="1" max="1" width="3.7109375" style="7" customWidth="1"/>
    <col min="2" max="2" width="8.28515625" customWidth="1"/>
    <col min="3" max="7" width="15.7109375" customWidth="1"/>
    <col min="8" max="8" width="3.7109375" customWidth="1"/>
    <col min="9" max="23" width="11.42578125" customWidth="1"/>
    <col min="24" max="24" width="3.7109375" style="7" customWidth="1"/>
    <col min="25" max="884" width="0" hidden="1" customWidth="1"/>
    <col min="885" max="16384" width="11.42578125" hidden="1"/>
  </cols>
  <sheetData>
    <row r="1" spans="2:23" ht="18" customHeight="1" x14ac:dyDescent="0.25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</row>
    <row r="2" spans="2:23" ht="18.75" x14ac:dyDescent="0.3">
      <c r="B2" s="30" t="s">
        <v>15</v>
      </c>
      <c r="C2" s="30"/>
      <c r="D2" s="30"/>
      <c r="E2" s="30"/>
      <c r="F2" s="30"/>
      <c r="G2" s="30"/>
      <c r="H2" s="4"/>
      <c r="I2" s="31" t="s">
        <v>23</v>
      </c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</row>
    <row r="3" spans="2:23" ht="18.75" x14ac:dyDescent="0.3">
      <c r="B3" s="6"/>
      <c r="C3" s="28"/>
      <c r="D3" s="28"/>
      <c r="E3" s="28"/>
      <c r="F3" s="28"/>
      <c r="G3" s="28"/>
      <c r="H3" s="4"/>
      <c r="I3" s="33" t="s">
        <v>17</v>
      </c>
      <c r="J3" s="34"/>
      <c r="K3" s="34"/>
      <c r="L3" s="33" t="s">
        <v>18</v>
      </c>
      <c r="M3" s="34"/>
      <c r="N3" s="35"/>
      <c r="O3" s="34" t="s">
        <v>19</v>
      </c>
      <c r="P3" s="34"/>
      <c r="Q3" s="34"/>
      <c r="R3" s="33" t="s">
        <v>20</v>
      </c>
      <c r="S3" s="34"/>
      <c r="T3" s="35"/>
      <c r="U3" s="34" t="s">
        <v>21</v>
      </c>
      <c r="V3" s="34"/>
      <c r="W3" s="34"/>
    </row>
    <row r="4" spans="2:23" x14ac:dyDescent="0.25">
      <c r="B4" s="5"/>
      <c r="C4" s="8" t="s">
        <v>17</v>
      </c>
      <c r="D4" s="8" t="s">
        <v>18</v>
      </c>
      <c r="E4" s="8" t="s">
        <v>19</v>
      </c>
      <c r="F4" s="8" t="s">
        <v>20</v>
      </c>
      <c r="G4" s="8" t="s">
        <v>21</v>
      </c>
      <c r="H4" s="9"/>
      <c r="I4" s="10" t="s">
        <v>0</v>
      </c>
      <c r="J4" s="11" t="s">
        <v>1</v>
      </c>
      <c r="K4" s="11" t="s">
        <v>22</v>
      </c>
      <c r="L4" s="10" t="s">
        <v>0</v>
      </c>
      <c r="M4" s="11" t="s">
        <v>1</v>
      </c>
      <c r="N4" s="12" t="s">
        <v>22</v>
      </c>
      <c r="O4" s="11" t="s">
        <v>0</v>
      </c>
      <c r="P4" s="11" t="s">
        <v>1</v>
      </c>
      <c r="Q4" s="11" t="s">
        <v>22</v>
      </c>
      <c r="R4" s="10" t="s">
        <v>0</v>
      </c>
      <c r="S4" s="11" t="s">
        <v>1</v>
      </c>
      <c r="T4" s="12" t="s">
        <v>22</v>
      </c>
      <c r="U4" s="11" t="s">
        <v>0</v>
      </c>
      <c r="V4" s="11" t="s">
        <v>1</v>
      </c>
      <c r="W4" s="11" t="s">
        <v>22</v>
      </c>
    </row>
    <row r="5" spans="2:23" x14ac:dyDescent="0.25">
      <c r="B5" s="13" t="s">
        <v>5</v>
      </c>
      <c r="C5" s="16"/>
      <c r="D5" s="16"/>
      <c r="E5" s="16"/>
      <c r="F5" s="16"/>
      <c r="G5" s="16"/>
      <c r="H5" s="17"/>
      <c r="I5" s="16"/>
      <c r="J5" s="16"/>
      <c r="K5" s="18"/>
      <c r="L5" s="19"/>
      <c r="M5" s="16"/>
      <c r="N5" s="18"/>
      <c r="O5" s="19"/>
      <c r="P5" s="16"/>
      <c r="Q5" s="18"/>
      <c r="R5" s="19"/>
      <c r="S5" s="16"/>
      <c r="T5" s="18"/>
      <c r="U5" s="19"/>
      <c r="V5" s="16"/>
      <c r="W5" s="16"/>
    </row>
    <row r="6" spans="2:23" x14ac:dyDescent="0.25">
      <c r="B6" s="14" t="s">
        <v>6</v>
      </c>
      <c r="C6" s="16"/>
      <c r="D6" s="16"/>
      <c r="E6" s="16"/>
      <c r="F6" s="16"/>
      <c r="G6" s="16"/>
      <c r="H6" s="17"/>
      <c r="I6" s="16"/>
      <c r="J6" s="16"/>
      <c r="K6" s="18"/>
      <c r="L6" s="20"/>
      <c r="M6" s="16"/>
      <c r="N6" s="18"/>
      <c r="O6" s="20"/>
      <c r="P6" s="16"/>
      <c r="Q6" s="18"/>
      <c r="R6" s="20"/>
      <c r="S6" s="16"/>
      <c r="T6" s="18"/>
      <c r="U6" s="20"/>
      <c r="V6" s="16"/>
      <c r="W6" s="16"/>
    </row>
    <row r="7" spans="2:23" x14ac:dyDescent="0.25">
      <c r="B7" s="14" t="s">
        <v>7</v>
      </c>
      <c r="C7" s="16"/>
      <c r="D7" s="16"/>
      <c r="E7" s="16"/>
      <c r="F7" s="16"/>
      <c r="G7" s="16"/>
      <c r="H7" s="17"/>
      <c r="I7" s="16"/>
      <c r="J7" s="16"/>
      <c r="K7" s="18"/>
      <c r="L7" s="20"/>
      <c r="M7" s="16"/>
      <c r="N7" s="18"/>
      <c r="O7" s="20"/>
      <c r="P7" s="16"/>
      <c r="Q7" s="18"/>
      <c r="R7" s="20"/>
      <c r="S7" s="16"/>
      <c r="T7" s="18"/>
      <c r="U7" s="20"/>
      <c r="V7" s="16"/>
      <c r="W7" s="16"/>
    </row>
    <row r="8" spans="2:23" x14ac:dyDescent="0.25">
      <c r="B8" s="14" t="s">
        <v>8</v>
      </c>
      <c r="C8" s="16"/>
      <c r="D8" s="16"/>
      <c r="E8" s="16"/>
      <c r="F8" s="16"/>
      <c r="G8" s="16"/>
      <c r="H8" s="17"/>
      <c r="I8" s="16"/>
      <c r="J8" s="16"/>
      <c r="K8" s="18"/>
      <c r="L8" s="20"/>
      <c r="M8" s="16"/>
      <c r="N8" s="18"/>
      <c r="O8" s="20"/>
      <c r="P8" s="16"/>
      <c r="Q8" s="18"/>
      <c r="R8" s="20"/>
      <c r="S8" s="16"/>
      <c r="T8" s="18"/>
      <c r="U8" s="20"/>
      <c r="V8" s="16"/>
      <c r="W8" s="16"/>
    </row>
    <row r="9" spans="2:23" x14ac:dyDescent="0.25">
      <c r="B9" s="14" t="s">
        <v>9</v>
      </c>
      <c r="C9" s="16"/>
      <c r="D9" s="16"/>
      <c r="E9" s="16"/>
      <c r="F9" s="16"/>
      <c r="G9" s="16"/>
      <c r="H9" s="17"/>
      <c r="I9" s="16"/>
      <c r="J9" s="16"/>
      <c r="K9" s="18"/>
      <c r="L9" s="20"/>
      <c r="M9" s="16"/>
      <c r="N9" s="18"/>
      <c r="O9" s="20"/>
      <c r="P9" s="16"/>
      <c r="Q9" s="18"/>
      <c r="R9" s="20"/>
      <c r="S9" s="16"/>
      <c r="T9" s="18"/>
      <c r="U9" s="20"/>
      <c r="V9" s="16"/>
      <c r="W9" s="16"/>
    </row>
    <row r="10" spans="2:23" x14ac:dyDescent="0.25">
      <c r="B10" s="14" t="s">
        <v>10</v>
      </c>
      <c r="C10" s="16"/>
      <c r="D10" s="16"/>
      <c r="E10" s="16"/>
      <c r="F10" s="16"/>
      <c r="G10" s="16"/>
      <c r="H10" s="17"/>
      <c r="I10" s="16"/>
      <c r="J10" s="16"/>
      <c r="K10" s="18"/>
      <c r="L10" s="20"/>
      <c r="M10" s="16"/>
      <c r="N10" s="18"/>
      <c r="O10" s="20"/>
      <c r="P10" s="16"/>
      <c r="Q10" s="18"/>
      <c r="R10" s="20"/>
      <c r="S10" s="16"/>
      <c r="T10" s="18"/>
      <c r="U10" s="20"/>
      <c r="V10" s="16"/>
      <c r="W10" s="16"/>
    </row>
    <row r="11" spans="2:23" x14ac:dyDescent="0.25">
      <c r="B11" s="14" t="s">
        <v>11</v>
      </c>
      <c r="C11" s="16"/>
      <c r="D11" s="16"/>
      <c r="E11" s="16"/>
      <c r="F11" s="16"/>
      <c r="G11" s="16"/>
      <c r="H11" s="17"/>
      <c r="I11" s="16"/>
      <c r="J11" s="16"/>
      <c r="K11" s="18"/>
      <c r="L11" s="20"/>
      <c r="M11" s="16"/>
      <c r="N11" s="18"/>
      <c r="O11" s="20"/>
      <c r="P11" s="16"/>
      <c r="Q11" s="18"/>
      <c r="R11" s="20"/>
      <c r="S11" s="16"/>
      <c r="T11" s="18"/>
      <c r="U11" s="20"/>
      <c r="V11" s="16"/>
      <c r="W11" s="16"/>
    </row>
    <row r="12" spans="2:23" x14ac:dyDescent="0.25">
      <c r="B12" s="14" t="s">
        <v>12</v>
      </c>
      <c r="C12" s="16"/>
      <c r="D12" s="16"/>
      <c r="E12" s="16"/>
      <c r="F12" s="16"/>
      <c r="G12" s="16"/>
      <c r="H12" s="17"/>
      <c r="I12" s="16"/>
      <c r="J12" s="16"/>
      <c r="K12" s="18"/>
      <c r="L12" s="20"/>
      <c r="M12" s="16"/>
      <c r="N12" s="18"/>
      <c r="O12" s="20"/>
      <c r="P12" s="16"/>
      <c r="Q12" s="18"/>
      <c r="R12" s="20"/>
      <c r="S12" s="16"/>
      <c r="T12" s="18"/>
      <c r="U12" s="20"/>
      <c r="V12" s="16"/>
      <c r="W12" s="16"/>
    </row>
    <row r="13" spans="2:23" x14ac:dyDescent="0.25">
      <c r="B13" s="14" t="s">
        <v>13</v>
      </c>
      <c r="C13" s="16"/>
      <c r="D13" s="16"/>
      <c r="E13" s="16"/>
      <c r="F13" s="16"/>
      <c r="G13" s="16"/>
      <c r="H13" s="17"/>
      <c r="I13" s="16"/>
      <c r="J13" s="16"/>
      <c r="K13" s="18"/>
      <c r="L13" s="20"/>
      <c r="M13" s="16"/>
      <c r="N13" s="18"/>
      <c r="O13" s="20"/>
      <c r="P13" s="16"/>
      <c r="Q13" s="18"/>
      <c r="R13" s="20"/>
      <c r="S13" s="16"/>
      <c r="T13" s="18"/>
      <c r="U13" s="20"/>
      <c r="V13" s="16"/>
      <c r="W13" s="16"/>
    </row>
    <row r="14" spans="2:23" x14ac:dyDescent="0.25">
      <c r="B14" s="14" t="s">
        <v>14</v>
      </c>
      <c r="C14" s="16"/>
      <c r="D14" s="16"/>
      <c r="E14" s="16"/>
      <c r="F14" s="16"/>
      <c r="G14" s="16"/>
      <c r="H14" s="17"/>
      <c r="I14" s="16"/>
      <c r="J14" s="16"/>
      <c r="K14" s="18"/>
      <c r="L14" s="20"/>
      <c r="M14" s="16"/>
      <c r="N14" s="18"/>
      <c r="O14" s="20"/>
      <c r="P14" s="16"/>
      <c r="Q14" s="18"/>
      <c r="R14" s="20"/>
      <c r="S14" s="16"/>
      <c r="T14" s="18"/>
      <c r="U14" s="20"/>
      <c r="V14" s="16"/>
      <c r="W14" s="16"/>
    </row>
    <row r="15" spans="2:23" x14ac:dyDescent="0.25">
      <c r="B15" s="14" t="s">
        <v>16</v>
      </c>
      <c r="C15" s="16"/>
      <c r="D15" s="16"/>
      <c r="E15" s="16"/>
      <c r="F15" s="16"/>
      <c r="G15" s="16"/>
      <c r="H15" s="17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</row>
    <row r="16" spans="2:23" x14ac:dyDescent="0.25">
      <c r="B16" s="27" t="s">
        <v>29</v>
      </c>
      <c r="C16" s="16"/>
      <c r="D16" s="16"/>
      <c r="E16" s="16"/>
      <c r="F16" s="16"/>
      <c r="G16" s="16"/>
      <c r="H16" s="22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</row>
    <row r="17" spans="2:23" x14ac:dyDescent="0.25">
      <c r="B17" s="15" t="s">
        <v>30</v>
      </c>
      <c r="C17" s="16"/>
      <c r="D17" s="16"/>
      <c r="E17" s="16"/>
      <c r="F17" s="16"/>
      <c r="G17" s="16"/>
      <c r="H17" s="17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</row>
    <row r="18" spans="2:23" x14ac:dyDescent="0.25">
      <c r="B18" s="14" t="s">
        <v>0</v>
      </c>
      <c r="C18" s="24">
        <f>AKS!C5*Schiffe!B3+AKS!C6*Schiffe!B4+AKS!C7*Schiffe!B5+AKS!C8*Schiffe!B6+AKS!C9*Schiffe!B7+AKS!C10*Schiffe!B8+AKS!C11*Schiffe!B9+AKS!C12*Schiffe!B10+AKS!C13*Schiffe!B11+AKS!C14*Schiffe!B12+AKS!C15*Schiffe!B13+AKS!C16*Schiffe!B14+AKS!C17*Schiffe!B15</f>
        <v>0</v>
      </c>
      <c r="D18" s="24">
        <f>AKS!D5*Schiffe!B3+AKS!D6*Schiffe!B4+AKS!D7*Schiffe!B5+AKS!D8*Schiffe!B6+AKS!D9*Schiffe!B7+AKS!D10*Schiffe!B8+AKS!D11*Schiffe!B9+AKS!D12*Schiffe!B10+AKS!D13*Schiffe!B11+AKS!D14*Schiffe!B12+AKS!D15*Schiffe!B13+AKS!D16*Schiffe!B14+AKS!D17*Schiffe!B15</f>
        <v>0</v>
      </c>
      <c r="E18" s="24">
        <f>AKS!E5*Schiffe!B3+AKS!E6*Schiffe!B4+AKS!E7*Schiffe!B5+AKS!E8*Schiffe!B6+AKS!E9*Schiffe!B7+AKS!E10*Schiffe!B8+AKS!E11*Schiffe!B9+AKS!E12*Schiffe!B10+AKS!E13*Schiffe!B11+AKS!E14*Schiffe!B12+AKS!E15*Schiffe!B13+AKS!E16*Schiffe!B14+AKS!E17*Schiffe!B15</f>
        <v>0</v>
      </c>
      <c r="F18" s="24">
        <f>AKS!F5*Schiffe!B3+AKS!F6*Schiffe!B4+AKS!F7*Schiffe!B5+AKS!F8*Schiffe!B6+AKS!F9*Schiffe!B7+AKS!F10*Schiffe!B8+AKS!F11*Schiffe!B9+AKS!F12*Schiffe!B10+AKS!F13*Schiffe!B11+AKS!F14*Schiffe!B12+AKS!F15*Schiffe!B13+AKS!F16*Schiffe!B14+AKS!F17*Schiffe!B15</f>
        <v>0</v>
      </c>
      <c r="G18" s="24">
        <f>AKS!G5*Schiffe!B3+AKS!G6*Schiffe!B4+AKS!G7*Schiffe!B5+AKS!G8*Schiffe!B6+AKS!G9*Schiffe!B7+AKS!G10*Schiffe!B8+AKS!G11*Schiffe!B9+AKS!G12*Schiffe!B10+AKS!G13*Schiffe!B11+AKS!G14*Schiffe!B12+AKS!G15*Schiffe!B13+AKS!G16*Schiffe!B14+AKS!G17*Schiffe!B15</f>
        <v>0</v>
      </c>
      <c r="H18" s="17"/>
      <c r="I18" s="24">
        <f t="shared" ref="I18:W18" si="0">SUM(I5:I15)</f>
        <v>0</v>
      </c>
      <c r="J18" s="24">
        <f t="shared" si="0"/>
        <v>0</v>
      </c>
      <c r="K18" s="24">
        <f t="shared" si="0"/>
        <v>0</v>
      </c>
      <c r="L18" s="24">
        <f t="shared" si="0"/>
        <v>0</v>
      </c>
      <c r="M18" s="24">
        <f t="shared" si="0"/>
        <v>0</v>
      </c>
      <c r="N18" s="24">
        <f t="shared" si="0"/>
        <v>0</v>
      </c>
      <c r="O18" s="24">
        <f t="shared" si="0"/>
        <v>0</v>
      </c>
      <c r="P18" s="24">
        <f t="shared" si="0"/>
        <v>0</v>
      </c>
      <c r="Q18" s="24">
        <f t="shared" si="0"/>
        <v>0</v>
      </c>
      <c r="R18" s="24">
        <f t="shared" si="0"/>
        <v>0</v>
      </c>
      <c r="S18" s="24">
        <f t="shared" si="0"/>
        <v>0</v>
      </c>
      <c r="T18" s="24">
        <f t="shared" si="0"/>
        <v>0</v>
      </c>
      <c r="U18" s="24">
        <f t="shared" si="0"/>
        <v>0</v>
      </c>
      <c r="V18" s="24">
        <f t="shared" si="0"/>
        <v>0</v>
      </c>
      <c r="W18" s="24">
        <f t="shared" si="0"/>
        <v>0</v>
      </c>
    </row>
    <row r="19" spans="2:23" x14ac:dyDescent="0.25">
      <c r="B19" s="14" t="s">
        <v>1</v>
      </c>
      <c r="C19" s="24">
        <f>AKS!C5*Schiffe!C3+AKS!C6*Schiffe!C4+AKS!C7*Schiffe!C5+AKS!C8*Schiffe!C6+AKS!C9*Schiffe!C7+AKS!C10*Schiffe!C8+AKS!C11*Schiffe!C9+AKS!C12*Schiffe!C10+AKS!C13*Schiffe!C11+AKS!C14*Schiffe!C12+AKS!C15*Schiffe!C13+AKS!C16*Schiffe!C14+AKS!C17*Schiffe!C15</f>
        <v>0</v>
      </c>
      <c r="D19" s="24">
        <f>AKS!D5*Schiffe!C3+AKS!D6*Schiffe!C4+AKS!D7*Schiffe!C5+AKS!D8*Schiffe!C6+AKS!D9*Schiffe!C7+AKS!D10*Schiffe!C8+AKS!D11*Schiffe!C9+AKS!D12*Schiffe!C10+AKS!D13*Schiffe!C11+AKS!D14*Schiffe!C12+AKS!D15*Schiffe!C13+AKS!D16*Schiffe!C14+AKS!D17*Schiffe!C15</f>
        <v>0</v>
      </c>
      <c r="E19" s="24">
        <f>AKS!E5*Schiffe!C3+AKS!E6*Schiffe!C4+AKS!E7*Schiffe!C5+AKS!E8*Schiffe!C6+AKS!E9*Schiffe!C7+AKS!E10*Schiffe!C8+AKS!E11*Schiffe!C9+AKS!E12*Schiffe!C10+AKS!E13*Schiffe!C11+AKS!E14*Schiffe!C12+AKS!E15*Schiffe!C13+AKS!E16*Schiffe!C14+AKS!E17*Schiffe!C15</f>
        <v>0</v>
      </c>
      <c r="F19" s="24">
        <f>AKS!F5*Schiffe!C3+AKS!F6*Schiffe!C4+AKS!F7*Schiffe!C5+AKS!F8*Schiffe!C6+AKS!F9*Schiffe!C7+AKS!F10*Schiffe!C8+AKS!F11*Schiffe!C9+AKS!F12*Schiffe!C10+AKS!F13*Schiffe!C11+AKS!F14*Schiffe!C12+AKS!F15*Schiffe!C13+AKS!F16*Schiffe!C14+AKS!F17*Schiffe!C15</f>
        <v>0</v>
      </c>
      <c r="G19" s="24">
        <f>AKS!G5*Schiffe!C3+AKS!G6*Schiffe!C4+AKS!G7*Schiffe!C5+AKS!G8*Schiffe!C6+AKS!G9*Schiffe!C7+AKS!G10*Schiffe!C8+AKS!G11*Schiffe!C9+AKS!G12*Schiffe!C10+AKS!G13*Schiffe!C11+AKS!G14*Schiffe!C12+AKS!G15*Schiffe!C13+AKS!G16*Schiffe!C14+AKS!G17*Schiffe!C15</f>
        <v>0</v>
      </c>
      <c r="H19" s="17"/>
      <c r="I19" s="21"/>
      <c r="J19" s="21"/>
      <c r="K19" s="21"/>
      <c r="L19" s="22"/>
      <c r="M19" s="22"/>
      <c r="N19" s="22"/>
      <c r="O19" s="21"/>
      <c r="P19" s="21"/>
      <c r="Q19" s="21"/>
      <c r="R19" s="22"/>
      <c r="S19" s="22"/>
      <c r="T19" s="22"/>
      <c r="U19" s="21"/>
      <c r="V19" s="21"/>
      <c r="W19" s="21"/>
    </row>
    <row r="20" spans="2:23" x14ac:dyDescent="0.25">
      <c r="B20" s="14" t="s">
        <v>22</v>
      </c>
      <c r="C20" s="24">
        <f>AKS!C5*Schiffe!D3+AKS!C6*Schiffe!D4+AKS!C7*Schiffe!D5+AKS!C8*Schiffe!D6+AKS!C9*Schiffe!D7+AKS!C10*Schiffe!D8+AKS!C11*Schiffe!D9+AKS!C12*Schiffe!D10+AKS!C13*Schiffe!D11+AKS!C14*Schiffe!D12+AKS!C15*Schiffe!D13</f>
        <v>0</v>
      </c>
      <c r="D20" s="24">
        <f>AKS!D5*Schiffe!D3+AKS!D6*Schiffe!D4+AKS!D7*Schiffe!D5+AKS!D8*Schiffe!D6+AKS!D9*Schiffe!D7+AKS!D10*Schiffe!D8+AKS!D11*Schiffe!D9+AKS!D12*Schiffe!D10+AKS!D13*Schiffe!D11+AKS!D14*Schiffe!D12+AKS!D15*Schiffe!D13</f>
        <v>0</v>
      </c>
      <c r="E20" s="24">
        <f>AKS!E5*Schiffe!D3+AKS!E6*Schiffe!D4+AKS!E7*Schiffe!D5+AKS!E8*Schiffe!D6+AKS!E9*Schiffe!D7+AKS!E10*Schiffe!D8+AKS!E11*Schiffe!D9+AKS!E12*Schiffe!D10+AKS!E13*Schiffe!D11+AKS!E14*Schiffe!D12+AKS!E15*Schiffe!D13</f>
        <v>0</v>
      </c>
      <c r="F20" s="24">
        <f>AKS!F5*Schiffe!D3+AKS!F6*Schiffe!D4+AKS!F7*Schiffe!D5+AKS!F8*Schiffe!D6+AKS!F9*Schiffe!D7+AKS!F10*Schiffe!D8+AKS!F11*Schiffe!D9+AKS!F12*Schiffe!D10+AKS!F13*Schiffe!D11+AKS!F14*Schiffe!D12+AKS!F15*Schiffe!D13</f>
        <v>0</v>
      </c>
      <c r="G20" s="24">
        <f>AKS!G5*Schiffe!D3+AKS!G6*Schiffe!D4+AKS!G7*Schiffe!D5+AKS!G8*Schiffe!D6+AKS!G9*Schiffe!D7+AKS!G10*Schiffe!D8+AKS!G11*Schiffe!D9+AKS!G12*Schiffe!D10+AKS!G13*Schiffe!D11+AKS!G14*Schiffe!D12+AKS!G15*Schiffe!D13</f>
        <v>0</v>
      </c>
      <c r="H20" s="17"/>
      <c r="I20" s="21"/>
      <c r="J20" s="21"/>
      <c r="K20" s="21"/>
      <c r="L20" s="22"/>
      <c r="M20" s="22"/>
      <c r="N20" s="22"/>
      <c r="O20" s="21"/>
      <c r="P20" s="21"/>
      <c r="Q20" s="21"/>
      <c r="R20" s="22"/>
      <c r="S20" s="22"/>
      <c r="T20" s="22"/>
      <c r="U20" s="21"/>
      <c r="V20" s="21"/>
      <c r="W20" s="21"/>
    </row>
    <row r="21" spans="2:23" x14ac:dyDescent="0.25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2:23" x14ac:dyDescent="0.25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2:23" x14ac:dyDescent="0.25"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2:23" ht="18.75" x14ac:dyDescent="0.3">
      <c r="B24" s="7"/>
      <c r="C24" s="33" t="s">
        <v>24</v>
      </c>
      <c r="D24" s="34"/>
      <c r="E24" s="34"/>
      <c r="F24" s="7"/>
      <c r="G24" s="7"/>
      <c r="H24" s="7"/>
      <c r="I24" s="31" t="s">
        <v>26</v>
      </c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</row>
    <row r="25" spans="2:23" x14ac:dyDescent="0.25">
      <c r="B25" s="7"/>
      <c r="C25" s="10" t="s">
        <v>0</v>
      </c>
      <c r="D25" s="11" t="s">
        <v>1</v>
      </c>
      <c r="E25" s="11" t="s">
        <v>22</v>
      </c>
      <c r="F25" s="7"/>
      <c r="G25" s="7"/>
      <c r="H25" s="7"/>
      <c r="I25" s="33" t="s">
        <v>17</v>
      </c>
      <c r="J25" s="34"/>
      <c r="K25" s="34"/>
      <c r="L25" s="33" t="s">
        <v>18</v>
      </c>
      <c r="M25" s="34"/>
      <c r="N25" s="35"/>
      <c r="O25" s="34" t="s">
        <v>19</v>
      </c>
      <c r="P25" s="34"/>
      <c r="Q25" s="34"/>
      <c r="R25" s="33" t="s">
        <v>20</v>
      </c>
      <c r="S25" s="34"/>
      <c r="T25" s="35"/>
      <c r="U25" s="34" t="s">
        <v>21</v>
      </c>
      <c r="V25" s="34"/>
      <c r="W25" s="34"/>
    </row>
    <row r="26" spans="2:23" x14ac:dyDescent="0.25">
      <c r="B26" s="7"/>
      <c r="C26" s="29">
        <f>SUM(I18,L18,O18,R18,U18)-SUM(C18:G18)</f>
        <v>0</v>
      </c>
      <c r="D26" s="29">
        <f>SUM(J18,M18,P18,S18,V18)-SUM(C19:G19)</f>
        <v>0</v>
      </c>
      <c r="E26" s="29">
        <f>SUM(K18,N18,Q18,T18,W18)-SUM(C20:G20)</f>
        <v>0</v>
      </c>
      <c r="F26" s="7"/>
      <c r="G26" s="7"/>
      <c r="H26" s="7"/>
      <c r="I26" s="10" t="s">
        <v>0</v>
      </c>
      <c r="J26" s="11" t="s">
        <v>1</v>
      </c>
      <c r="K26" s="11" t="s">
        <v>22</v>
      </c>
      <c r="L26" s="10" t="s">
        <v>0</v>
      </c>
      <c r="M26" s="11" t="s">
        <v>1</v>
      </c>
      <c r="N26" s="12" t="s">
        <v>22</v>
      </c>
      <c r="O26" s="11" t="s">
        <v>0</v>
      </c>
      <c r="P26" s="11" t="s">
        <v>1</v>
      </c>
      <c r="Q26" s="11" t="s">
        <v>22</v>
      </c>
      <c r="R26" s="10" t="s">
        <v>0</v>
      </c>
      <c r="S26" s="11" t="s">
        <v>1</v>
      </c>
      <c r="T26" s="12" t="s">
        <v>22</v>
      </c>
      <c r="U26" s="11" t="s">
        <v>0</v>
      </c>
      <c r="V26" s="11" t="s">
        <v>1</v>
      </c>
      <c r="W26" s="11" t="s">
        <v>22</v>
      </c>
    </row>
    <row r="27" spans="2:23" x14ac:dyDescent="0.25">
      <c r="B27" s="7"/>
      <c r="C27" s="7"/>
      <c r="D27" s="7"/>
      <c r="E27" s="7"/>
      <c r="F27" s="7"/>
      <c r="G27" s="7"/>
      <c r="H27" s="7"/>
      <c r="I27" s="23">
        <f>(C18-I18)+(C26*C32)</f>
        <v>0</v>
      </c>
      <c r="J27" s="23">
        <f>(C19-J18)+(D26*C32)</f>
        <v>0</v>
      </c>
      <c r="K27" s="23">
        <f>C20-K18+E26*C32</f>
        <v>0</v>
      </c>
      <c r="L27" s="23">
        <f>D18-L18+C26*D32</f>
        <v>0</v>
      </c>
      <c r="M27" s="23">
        <f>D19-M18+D26*D32</f>
        <v>0</v>
      </c>
      <c r="N27" s="23">
        <f>D20-N18+E26*D32</f>
        <v>0</v>
      </c>
      <c r="O27" s="23">
        <f>E18-O18+C26*E32</f>
        <v>0</v>
      </c>
      <c r="P27" s="23">
        <f>E19-P18+D26*E32</f>
        <v>0</v>
      </c>
      <c r="Q27" s="23">
        <f>E20-Q18+E26*E32</f>
        <v>0</v>
      </c>
      <c r="R27" s="23">
        <f>F18-R18+C26*F32</f>
        <v>0</v>
      </c>
      <c r="S27" s="23">
        <f>F19-S18+D26*F32</f>
        <v>0</v>
      </c>
      <c r="T27" s="23">
        <f>F20-T18+E26*F32</f>
        <v>0</v>
      </c>
      <c r="U27" s="23">
        <f>G18-U18+C26*G32</f>
        <v>0</v>
      </c>
      <c r="V27" s="23">
        <f>G19-V18+D26*G32</f>
        <v>0</v>
      </c>
      <c r="W27" s="23">
        <f>G20-W18+E26*G32</f>
        <v>0</v>
      </c>
    </row>
    <row r="28" spans="2:23" x14ac:dyDescent="0.2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2:23" ht="18.75" x14ac:dyDescent="0.3">
      <c r="B29" s="7"/>
      <c r="C29" s="38" t="s">
        <v>25</v>
      </c>
      <c r="D29" s="38"/>
      <c r="E29" s="38"/>
      <c r="F29" s="38"/>
      <c r="G29" s="38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2:23" x14ac:dyDescent="0.25">
      <c r="B30" s="7"/>
      <c r="C30" s="28"/>
      <c r="D30" s="28"/>
      <c r="E30" s="28"/>
      <c r="F30" s="28"/>
      <c r="G30" s="28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2:23" ht="15.75" x14ac:dyDescent="0.25">
      <c r="B31" s="7"/>
      <c r="C31" s="8" t="s">
        <v>17</v>
      </c>
      <c r="D31" s="8" t="s">
        <v>18</v>
      </c>
      <c r="E31" s="8" t="s">
        <v>19</v>
      </c>
      <c r="F31" s="8" t="s">
        <v>20</v>
      </c>
      <c r="G31" s="8" t="s">
        <v>21</v>
      </c>
      <c r="H31" s="7"/>
      <c r="I31" s="39" t="s">
        <v>27</v>
      </c>
      <c r="J31" s="40"/>
      <c r="K31" s="40"/>
      <c r="L31" s="40"/>
      <c r="M31" s="40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2:23" x14ac:dyDescent="0.25">
      <c r="B32" s="7"/>
      <c r="C32" s="25">
        <v>0.5</v>
      </c>
      <c r="D32" s="25">
        <v>0.5</v>
      </c>
      <c r="E32" s="25"/>
      <c r="F32" s="25"/>
      <c r="G32" s="25"/>
      <c r="H32" s="7"/>
      <c r="I32" s="36"/>
      <c r="J32" s="37"/>
      <c r="K32" s="37"/>
      <c r="L32" s="37"/>
      <c r="M32" s="3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2:23" x14ac:dyDescent="0.25"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2:23" x14ac:dyDescent="0.25"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2:23" x14ac:dyDescent="0.25"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2:23" x14ac:dyDescent="0.25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2:23" x14ac:dyDescent="0.25"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2:23" x14ac:dyDescent="0.25"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2:23" x14ac:dyDescent="0.25">
      <c r="B39" s="7"/>
      <c r="C39" s="7"/>
      <c r="D39" s="7"/>
      <c r="E39" s="7"/>
      <c r="F39" s="7"/>
      <c r="G39" s="7"/>
      <c r="H39" s="7"/>
      <c r="I39" s="21">
        <f t="shared" ref="I39:W39" si="1">SUM(I27:I38)</f>
        <v>0</v>
      </c>
      <c r="J39" s="21">
        <f t="shared" si="1"/>
        <v>0</v>
      </c>
      <c r="K39" s="21">
        <f t="shared" si="1"/>
        <v>0</v>
      </c>
      <c r="L39" s="17">
        <f t="shared" si="1"/>
        <v>0</v>
      </c>
      <c r="M39" s="22">
        <f t="shared" si="1"/>
        <v>0</v>
      </c>
      <c r="N39" s="22">
        <f t="shared" si="1"/>
        <v>0</v>
      </c>
      <c r="O39" s="17">
        <f t="shared" si="1"/>
        <v>0</v>
      </c>
      <c r="P39" s="21">
        <f t="shared" si="1"/>
        <v>0</v>
      </c>
      <c r="Q39" s="21">
        <f t="shared" si="1"/>
        <v>0</v>
      </c>
      <c r="R39" s="17">
        <f t="shared" si="1"/>
        <v>0</v>
      </c>
      <c r="S39" s="21">
        <f t="shared" si="1"/>
        <v>0</v>
      </c>
      <c r="T39" s="21">
        <f t="shared" si="1"/>
        <v>0</v>
      </c>
      <c r="U39" s="17">
        <f t="shared" si="1"/>
        <v>0</v>
      </c>
      <c r="V39" s="21">
        <f t="shared" si="1"/>
        <v>0</v>
      </c>
      <c r="W39" s="21">
        <f t="shared" si="1"/>
        <v>0</v>
      </c>
    </row>
    <row r="40" spans="2:23" x14ac:dyDescent="0.25"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2:23" x14ac:dyDescent="0.25"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2:23" hidden="1" x14ac:dyDescent="0.25"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</sheetData>
  <mergeCells count="17">
    <mergeCell ref="I32:M32"/>
    <mergeCell ref="C24:E24"/>
    <mergeCell ref="C29:G29"/>
    <mergeCell ref="I31:M31"/>
    <mergeCell ref="I24:W24"/>
    <mergeCell ref="I25:K25"/>
    <mergeCell ref="L25:N25"/>
    <mergeCell ref="O25:Q25"/>
    <mergeCell ref="R25:T25"/>
    <mergeCell ref="U25:W25"/>
    <mergeCell ref="B2:G2"/>
    <mergeCell ref="I2:W2"/>
    <mergeCell ref="I3:K3"/>
    <mergeCell ref="L3:N3"/>
    <mergeCell ref="O3:Q3"/>
    <mergeCell ref="R3:T3"/>
    <mergeCell ref="U3:W3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Load CR">
              <controlPr defaultSize="0" print="0" autoFill="0" autoPict="0" macro="[0]!LoadCRReport">
                <anchor moveWithCells="1">
                  <from>
                    <xdr:col>13</xdr:col>
                    <xdr:colOff>247650</xdr:colOff>
                    <xdr:row>30</xdr:row>
                    <xdr:rowOff>76200</xdr:rowOff>
                  </from>
                  <to>
                    <xdr:col>14</xdr:col>
                    <xdr:colOff>342900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AKSData">
                <anchor moveWithCells="1" sizeWithCells="1">
                  <from>
                    <xdr:col>14</xdr:col>
                    <xdr:colOff>428625</xdr:colOff>
                    <xdr:row>30</xdr:row>
                    <xdr:rowOff>76200</xdr:rowOff>
                  </from>
                  <to>
                    <xdr:col>15</xdr:col>
                    <xdr:colOff>438150</xdr:colOff>
                    <xdr:row>31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E15"/>
  <sheetViews>
    <sheetView workbookViewId="0">
      <selection activeCell="A15" sqref="A15"/>
    </sheetView>
  </sheetViews>
  <sheetFormatPr baseColWidth="10" defaultRowHeight="15" x14ac:dyDescent="0.25"/>
  <sheetData>
    <row r="1" spans="1:5" x14ac:dyDescent="0.25">
      <c r="A1" s="41" t="s">
        <v>3</v>
      </c>
      <c r="B1" s="41"/>
      <c r="C1" s="41"/>
      <c r="D1" s="41"/>
    </row>
    <row r="2" spans="1:5" x14ac:dyDescent="0.25">
      <c r="A2" s="2" t="s">
        <v>4</v>
      </c>
      <c r="B2" s="3" t="s">
        <v>0</v>
      </c>
      <c r="C2" s="3" t="s">
        <v>1</v>
      </c>
      <c r="D2" s="3" t="s">
        <v>2</v>
      </c>
      <c r="E2" s="26" t="s">
        <v>28</v>
      </c>
    </row>
    <row r="3" spans="1:5" x14ac:dyDescent="0.25">
      <c r="A3" t="s">
        <v>5</v>
      </c>
      <c r="B3" s="1">
        <v>2000</v>
      </c>
      <c r="C3" s="1">
        <v>2000</v>
      </c>
      <c r="D3" s="1">
        <v>0</v>
      </c>
      <c r="E3" s="1">
        <v>202</v>
      </c>
    </row>
    <row r="4" spans="1:5" x14ac:dyDescent="0.25">
      <c r="A4" t="s">
        <v>6</v>
      </c>
      <c r="B4" s="1">
        <v>3000</v>
      </c>
      <c r="C4" s="1">
        <v>1000</v>
      </c>
      <c r="D4" s="1">
        <v>0</v>
      </c>
      <c r="E4" s="1">
        <v>204</v>
      </c>
    </row>
    <row r="5" spans="1:5" x14ac:dyDescent="0.25">
      <c r="A5" t="s">
        <v>7</v>
      </c>
      <c r="B5" s="1">
        <v>6000</v>
      </c>
      <c r="C5" s="1">
        <v>6000</v>
      </c>
      <c r="D5" s="1">
        <v>0</v>
      </c>
      <c r="E5" s="1">
        <v>203</v>
      </c>
    </row>
    <row r="6" spans="1:5" x14ac:dyDescent="0.25">
      <c r="A6" t="s">
        <v>8</v>
      </c>
      <c r="B6" s="1">
        <v>6000</v>
      </c>
      <c r="C6" s="1">
        <v>4000</v>
      </c>
      <c r="D6" s="1">
        <v>0</v>
      </c>
      <c r="E6" s="1">
        <v>205</v>
      </c>
    </row>
    <row r="7" spans="1:5" x14ac:dyDescent="0.25">
      <c r="A7" t="s">
        <v>9</v>
      </c>
      <c r="B7" s="1">
        <v>20000</v>
      </c>
      <c r="C7" s="1">
        <v>7000</v>
      </c>
      <c r="D7" s="1">
        <v>2000</v>
      </c>
      <c r="E7" s="1">
        <v>206</v>
      </c>
    </row>
    <row r="8" spans="1:5" x14ac:dyDescent="0.25">
      <c r="A8" t="s">
        <v>10</v>
      </c>
      <c r="B8" s="1">
        <v>45000</v>
      </c>
      <c r="C8" s="1">
        <v>15000</v>
      </c>
      <c r="D8" s="1">
        <v>0</v>
      </c>
      <c r="E8" s="1">
        <v>207</v>
      </c>
    </row>
    <row r="9" spans="1:5" x14ac:dyDescent="0.25">
      <c r="A9" t="s">
        <v>11</v>
      </c>
      <c r="B9" s="1">
        <v>30000</v>
      </c>
      <c r="C9" s="1">
        <v>40000</v>
      </c>
      <c r="D9" s="1">
        <v>15000</v>
      </c>
      <c r="E9" s="1">
        <v>215</v>
      </c>
    </row>
    <row r="10" spans="1:5" x14ac:dyDescent="0.25">
      <c r="A10" t="s">
        <v>12</v>
      </c>
      <c r="B10" s="1">
        <v>50000</v>
      </c>
      <c r="C10" s="1">
        <v>25000</v>
      </c>
      <c r="D10" s="1">
        <v>15000</v>
      </c>
      <c r="E10" s="1">
        <v>211</v>
      </c>
    </row>
    <row r="11" spans="1:5" x14ac:dyDescent="0.25">
      <c r="A11" t="s">
        <v>13</v>
      </c>
      <c r="B11" s="1">
        <v>60000</v>
      </c>
      <c r="C11" s="1">
        <v>50000</v>
      </c>
      <c r="D11" s="1">
        <v>15000</v>
      </c>
      <c r="E11" s="1">
        <v>213</v>
      </c>
    </row>
    <row r="12" spans="1:5" x14ac:dyDescent="0.25">
      <c r="A12" t="s">
        <v>14</v>
      </c>
      <c r="B12" s="1">
        <v>5000000</v>
      </c>
      <c r="C12" s="1">
        <v>4000000</v>
      </c>
      <c r="D12" s="1">
        <v>1000000</v>
      </c>
      <c r="E12" s="1">
        <v>214</v>
      </c>
    </row>
    <row r="13" spans="1:5" x14ac:dyDescent="0.25">
      <c r="A13" t="s">
        <v>16</v>
      </c>
      <c r="B13" s="1">
        <v>10000</v>
      </c>
      <c r="C13" s="1">
        <v>6000</v>
      </c>
      <c r="D13" s="1">
        <v>2000</v>
      </c>
      <c r="E13" s="1">
        <v>209</v>
      </c>
    </row>
    <row r="14" spans="1:5" x14ac:dyDescent="0.25">
      <c r="A14" t="s">
        <v>29</v>
      </c>
      <c r="B14" s="1">
        <v>0</v>
      </c>
      <c r="C14" s="1">
        <v>1000</v>
      </c>
      <c r="D14" s="1">
        <v>0</v>
      </c>
      <c r="E14" s="1">
        <v>210</v>
      </c>
    </row>
    <row r="15" spans="1:5" x14ac:dyDescent="0.25">
      <c r="A15" t="s">
        <v>30</v>
      </c>
      <c r="B15" s="1">
        <v>10000</v>
      </c>
      <c r="C15" s="1">
        <v>20000</v>
      </c>
      <c r="D15" s="1">
        <v>10000</v>
      </c>
      <c r="E15" s="1">
        <v>208</v>
      </c>
    </row>
  </sheetData>
  <mergeCells count="1">
    <mergeCell ref="A1:D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5" x14ac:dyDescent="0.25"/>
  <cols>
    <col min="1" max="1" width="50.42578125" bestFit="1" customWidth="1"/>
    <col min="2" max="2" width="12.85546875" customWidth="1"/>
    <col min="3" max="3" width="22.140625" bestFit="1" customWidth="1"/>
    <col min="4" max="4" width="15.28515625" bestFit="1" customWidth="1"/>
    <col min="5" max="5" width="3.140625" customWidth="1"/>
    <col min="6" max="6" width="4.42578125" customWidth="1"/>
  </cols>
  <sheetData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15"/>
  <sheetViews>
    <sheetView workbookViewId="0">
      <selection activeCell="B5" sqref="B5"/>
    </sheetView>
  </sheetViews>
  <sheetFormatPr baseColWidth="10" defaultRowHeight="15" x14ac:dyDescent="0.25"/>
  <cols>
    <col min="1" max="6" width="15.7109375" customWidth="1"/>
  </cols>
  <sheetData>
    <row r="1" spans="1:1" x14ac:dyDescent="0.25">
      <c r="A1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16</v>
      </c>
    </row>
    <row r="14" spans="1:1" x14ac:dyDescent="0.25">
      <c r="A14" t="s">
        <v>29</v>
      </c>
    </row>
    <row r="15" spans="1:1" x14ac:dyDescent="0.25">
      <c r="A15" t="s">
        <v>30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47</vt:i4>
      </vt:variant>
    </vt:vector>
  </HeadingPairs>
  <TitlesOfParts>
    <vt:vector size="51" baseType="lpstr">
      <vt:lpstr>AKS</vt:lpstr>
      <vt:lpstr>Schiffe</vt:lpstr>
      <vt:lpstr>API Data</vt:lpstr>
      <vt:lpstr>APIFilteredData</vt:lpstr>
      <vt:lpstr>'API Data'!_?apiid_cr_de_150_4ce341eae62d4bb416f7feb60f1bde07f00c564f_rawOut_on</vt:lpstr>
      <vt:lpstr>'API Data'!_?apiid_cr_de_150_4ce341eae62d4bb416f7feb60f1bde07f00c564f_rawOut_on_1</vt:lpstr>
      <vt:lpstr>'API Data'!ExterneDaten_1</vt:lpstr>
      <vt:lpstr>'API Data'!ExterneDaten_10</vt:lpstr>
      <vt:lpstr>'API Data'!ExterneDaten_11</vt:lpstr>
      <vt:lpstr>'API Data'!ExterneDaten_12</vt:lpstr>
      <vt:lpstr>'API Data'!ExterneDaten_13</vt:lpstr>
      <vt:lpstr>'API Data'!ExterneDaten_14</vt:lpstr>
      <vt:lpstr>'API Data'!ExterneDaten_15</vt:lpstr>
      <vt:lpstr>'API Data'!ExterneDaten_16</vt:lpstr>
      <vt:lpstr>'API Data'!ExterneDaten_17</vt:lpstr>
      <vt:lpstr>'API Data'!ExterneDaten_18</vt:lpstr>
      <vt:lpstr>'API Data'!ExterneDaten_19</vt:lpstr>
      <vt:lpstr>'API Data'!ExterneDaten_2</vt:lpstr>
      <vt:lpstr>'API Data'!ExterneDaten_20</vt:lpstr>
      <vt:lpstr>'API Data'!ExterneDaten_21</vt:lpstr>
      <vt:lpstr>'API Data'!ExterneDaten_22</vt:lpstr>
      <vt:lpstr>'API Data'!ExterneDaten_23</vt:lpstr>
      <vt:lpstr>'API Data'!ExterneDaten_24</vt:lpstr>
      <vt:lpstr>'API Data'!ExterneDaten_25</vt:lpstr>
      <vt:lpstr>'API Data'!ExterneDaten_26</vt:lpstr>
      <vt:lpstr>'API Data'!ExterneDaten_27</vt:lpstr>
      <vt:lpstr>'API Data'!ExterneDaten_28</vt:lpstr>
      <vt:lpstr>'API Data'!ExterneDaten_29</vt:lpstr>
      <vt:lpstr>'API Data'!ExterneDaten_3</vt:lpstr>
      <vt:lpstr>'API Data'!ExterneDaten_30</vt:lpstr>
      <vt:lpstr>'API Data'!ExterneDaten_31</vt:lpstr>
      <vt:lpstr>'API Data'!ExterneDaten_32</vt:lpstr>
      <vt:lpstr>'API Data'!ExterneDaten_33</vt:lpstr>
      <vt:lpstr>'API Data'!ExterneDaten_34</vt:lpstr>
      <vt:lpstr>'API Data'!ExterneDaten_35</vt:lpstr>
      <vt:lpstr>'API Data'!ExterneDaten_36</vt:lpstr>
      <vt:lpstr>'API Data'!ExterneDaten_37</vt:lpstr>
      <vt:lpstr>'API Data'!ExterneDaten_38</vt:lpstr>
      <vt:lpstr>'API Data'!ExterneDaten_39</vt:lpstr>
      <vt:lpstr>'API Data'!ExterneDaten_4</vt:lpstr>
      <vt:lpstr>'API Data'!ExterneDaten_40</vt:lpstr>
      <vt:lpstr>'API Data'!ExterneDaten_41</vt:lpstr>
      <vt:lpstr>'API Data'!ExterneDaten_42</vt:lpstr>
      <vt:lpstr>'API Data'!ExterneDaten_43</vt:lpstr>
      <vt:lpstr>'API Data'!ExterneDaten_44</vt:lpstr>
      <vt:lpstr>'API Data'!ExterneDaten_45</vt:lpstr>
      <vt:lpstr>'API Data'!ExterneDaten_5</vt:lpstr>
      <vt:lpstr>'API Data'!ExterneDaten_6</vt:lpstr>
      <vt:lpstr>'API Data'!ExterneDaten_7</vt:lpstr>
      <vt:lpstr>'API Data'!ExterneDaten_8</vt:lpstr>
      <vt:lpstr>'API Data'!ExterneDaten_9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</dc:creator>
  <cp:lastModifiedBy>Jan</cp:lastModifiedBy>
  <dcterms:created xsi:type="dcterms:W3CDTF">2017-12-09T14:43:07Z</dcterms:created>
  <dcterms:modified xsi:type="dcterms:W3CDTF">2017-12-12T15:19:34Z</dcterms:modified>
</cp:coreProperties>
</file>